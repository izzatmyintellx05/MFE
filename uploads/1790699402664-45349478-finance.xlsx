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41MulUgWFpctcI389wQouGtglMonsJU9z6jfvJXMO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9">
      <text>
        <t xml:space="preserve">======
ID#AAACHe8Kyjo
Nur Armizah Binti Mohd Jasmi    (2026-09-24 03:11:26)
As per 05th June</t>
      </text>
    </comment>
  </commentList>
  <extLst>
    <ext uri="GoogleSheetsCustomDataVersion2">
      <go:sheetsCustomData xmlns:go="http://customooxmlschemas.google.com/" r:id="rId1" roundtripDataSignature="AMtx7mghi8eQYp+NAhgxkO/FACDGJqw/BA=="/>
    </ext>
  </extLst>
</comments>
</file>

<file path=xl/sharedStrings.xml><?xml version="1.0" encoding="utf-8"?>
<sst xmlns="http://schemas.openxmlformats.org/spreadsheetml/2006/main" count="106" uniqueCount="44">
  <si>
    <t>Customer &amp; Project Name (from bd column A)</t>
  </si>
  <si>
    <t>Project No (from bd column B)</t>
  </si>
  <si>
    <t>Project Shortname (from bd column C)</t>
  </si>
  <si>
    <t>Stream (from bd column D)</t>
  </si>
  <si>
    <t>Countries (from bd column E)</t>
  </si>
  <si>
    <t>PIC (from bd column F)</t>
  </si>
  <si>
    <t>Status (from bd column G)</t>
  </si>
  <si>
    <t>Products type (from bd column H)</t>
  </si>
  <si>
    <t>Formwork type (from bd column I)</t>
  </si>
  <si>
    <t>Payment terms (from bd column R to W)</t>
  </si>
  <si>
    <t>Advance Received / Payment Status</t>
  </si>
  <si>
    <t>Actual Received (USD)</t>
  </si>
  <si>
    <t>Payment Date</t>
  </si>
  <si>
    <t>Remarks (free form)</t>
  </si>
  <si>
    <t>LME Adjusted (USD)</t>
  </si>
  <si>
    <t>Freight Adjusted (USD)</t>
  </si>
  <si>
    <t>Final Selling Price (USD)</t>
  </si>
  <si>
    <t>Actual Received</t>
  </si>
  <si>
    <t>Percentage</t>
  </si>
  <si>
    <t>Type</t>
  </si>
  <si>
    <t>Balance Percentage</t>
  </si>
  <si>
    <t>INDIA - Alekhya Property Developments - Adarsh Parkland Phase 2 Block 4</t>
  </si>
  <si>
    <t>AP24</t>
  </si>
  <si>
    <t>India</t>
  </si>
  <si>
    <t>Person A</t>
  </si>
  <si>
    <t>Confirmed</t>
  </si>
  <si>
    <t>MFE New</t>
  </si>
  <si>
    <t>MIVAN/MONOLITIC FORMWORK</t>
  </si>
  <si>
    <t>100% Advance for 90m2</t>
  </si>
  <si>
    <t>100 % CAD</t>
  </si>
  <si>
    <t>Re-Design Only (Non-physical Despatch)</t>
  </si>
  <si>
    <t>8% Advance for 8,007m2, 92% CAD</t>
  </si>
  <si>
    <t>MALAYSIA - C N H Enterprise - EG23, 206 unit DSTH in Elmina City</t>
  </si>
  <si>
    <t>EG23</t>
  </si>
  <si>
    <t>Malaysia</t>
  </si>
  <si>
    <t>Person B</t>
  </si>
  <si>
    <t>84% Advance for 5,552m2, 16% CAD</t>
  </si>
  <si>
    <t>Modification</t>
  </si>
  <si>
    <t>Direct</t>
  </si>
  <si>
    <t>SINGAPORE - Wee Hur Construction - Bedok FD4-4 Blk Apartment</t>
  </si>
  <si>
    <t>BFD4</t>
  </si>
  <si>
    <t>Rest of the World</t>
  </si>
  <si>
    <t>Person C</t>
  </si>
  <si>
    <t>QUICK DECK / LIGHTDECK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</si>
</sst>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* #,##0_-;\-* #,##0_-;_-* &quot;-&quot;??_-;_-@"/>
    <numFmt numFmtId="166" formatCode="&quot;LME @ &quot;\_x000a_#,##0&quot;/Ton&quot;"/>
  </numFmts>
  <fonts count="15">
    <font>
      <sz val="11.0"/>
      <color theme="1"/>
      <name val="Aptos Narrow"/>
      <scheme val="minor"/>
    </font>
    <font>
      <color theme="1"/>
      <name val="Arial Narrow"/>
    </font>
    <font>
      <b/>
      <color theme="1"/>
      <name val="Arial Narrow"/>
    </font>
    <font>
      <sz val="11.0"/>
      <color theme="1"/>
      <name val="Arial Narrow"/>
    </font>
    <font/>
    <font>
      <sz val="11.0"/>
      <color theme="1"/>
      <name val="Arial"/>
    </font>
    <font>
      <sz val="11.0"/>
      <color theme="1"/>
      <name val="Aptos Narrow"/>
    </font>
    <font>
      <sz val="10.0"/>
      <color theme="1"/>
      <name val="Arial Narrow"/>
    </font>
    <font>
      <sz val="11.0"/>
      <color rgb="FF00B0F0"/>
      <name val="Arial Narrow"/>
    </font>
    <font>
      <color rgb="FF00B0F0"/>
      <name val="Arial Narrow"/>
    </font>
    <font>
      <sz val="10.0"/>
      <color rgb="FF00B0F0"/>
      <name val="Arial Narrow"/>
    </font>
    <font>
      <sz val="11.0"/>
      <color rgb="FFC00000"/>
      <name val="Arial Narrow"/>
    </font>
    <font>
      <sz val="11.0"/>
      <color rgb="FF7030A0"/>
      <name val="Arial Narrow"/>
    </font>
    <font>
      <b/>
      <sz val="10.0"/>
      <color theme="1"/>
      <name val="Arial Narrow"/>
    </font>
    <font>
      <color theme="1"/>
      <name val="Aptos Narrow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6BD60"/>
        <bgColor rgb="FFF6BD60"/>
      </patternFill>
    </fill>
    <fill>
      <patternFill patternType="solid">
        <fgColor rgb="FFFFFFFF"/>
        <bgColor rgb="FFFFFFFF"/>
      </patternFill>
    </fill>
    <fill>
      <patternFill patternType="solid">
        <fgColor rgb="FFB3E5A1"/>
        <bgColor rgb="FFB3E5A1"/>
      </patternFill>
    </fill>
    <fill>
      <patternFill patternType="solid">
        <fgColor rgb="FFFF9933"/>
        <bgColor rgb="FFFF9933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3" numFmtId="4" xfId="0" applyAlignment="1" applyBorder="1" applyFill="1" applyFont="1" applyNumberFormat="1">
      <alignment horizontal="center" shrinkToFit="0" wrapText="1"/>
    </xf>
    <xf borderId="3" fillId="0" fontId="4" numFmtId="0" xfId="0" applyBorder="1" applyFont="1"/>
    <xf borderId="4" fillId="0" fontId="4" numFmtId="0" xfId="0" applyBorder="1" applyFont="1"/>
    <xf borderId="1" fillId="2" fontId="1" numFmtId="4" xfId="0" applyAlignment="1" applyBorder="1" applyFill="1" applyFont="1" applyNumberFormat="1">
      <alignment horizontal="center" shrinkToFit="0" vertical="center" wrapText="1"/>
    </xf>
    <xf borderId="1" fillId="2" fontId="2" numFmtId="4" xfId="0" applyAlignment="1" applyBorder="1" applyFill="1" applyFont="1" applyNumberFormat="1">
      <alignment horizontal="center" vertical="center"/>
    </xf>
    <xf borderId="0" fillId="0" fontId="5" numFmtId="4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5" fillId="3" fontId="7" numFmtId="4" xfId="0" applyAlignment="1" applyBorder="1" applyFill="1" applyFont="1" applyNumberFormat="1">
      <alignment horizontal="center" shrinkToFit="0" vertical="center" wrapText="1"/>
    </xf>
    <xf borderId="5" fillId="3" fontId="7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2" fontId="3" numFmtId="0" xfId="0" applyAlignment="1" applyBorder="1" applyFill="1" applyFont="1">
      <alignment horizontal="center"/>
    </xf>
    <xf borderId="7" fillId="2" fontId="3" numFmtId="4" xfId="0" applyAlignment="1" applyBorder="1" applyFill="1" applyFont="1" applyNumberFormat="1">
      <alignment horizontal="center"/>
    </xf>
    <xf borderId="8" fillId="0" fontId="4" numFmtId="0" xfId="0" applyBorder="1" applyFont="1"/>
    <xf borderId="7" fillId="4" fontId="3" numFmtId="0" xfId="0" applyAlignment="1" applyBorder="1" applyFill="1" applyFont="1">
      <alignment horizontal="center" vertical="center"/>
    </xf>
    <xf borderId="7" fillId="4" fontId="3" numFmtId="0" xfId="0" applyAlignment="1" applyBorder="1" applyFill="1" applyFont="1">
      <alignment horizontal="center" shrinkToFit="0" vertical="center" wrapText="1"/>
    </xf>
    <xf borderId="7" fillId="4" fontId="3" numFmtId="0" xfId="0" applyAlignment="1" applyBorder="1" applyFill="1" applyFont="1">
      <alignment horizontal="center"/>
    </xf>
    <xf borderId="7" fillId="0" fontId="3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7" fillId="4" fontId="1" numFmtId="4" xfId="0" applyAlignment="1" applyBorder="1" applyFill="1" applyFont="1" applyNumberFormat="1">
      <alignment horizontal="center" vertical="center"/>
    </xf>
    <xf borderId="7" fillId="4" fontId="1" numFmtId="164" xfId="0" applyAlignment="1" applyBorder="1" applyFill="1" applyFont="1" applyNumberFormat="1">
      <alignment horizontal="center" vertical="center"/>
    </xf>
    <xf borderId="7" fillId="4" fontId="6" numFmtId="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9" fillId="0" fontId="4" numFmtId="0" xfId="0" applyBorder="1" applyFont="1"/>
    <xf borderId="7" fillId="4" fontId="6" numFmtId="3" xfId="0" applyAlignment="1" applyBorder="1" applyFill="1" applyFont="1" applyNumberFormat="1">
      <alignment horizontal="center" vertical="center"/>
    </xf>
    <xf borderId="7" fillId="4" fontId="1" numFmtId="3" xfId="0" applyAlignment="1" applyBorder="1" applyFill="1" applyFont="1" applyNumberFormat="1">
      <alignment horizontal="center" vertical="center"/>
    </xf>
    <xf borderId="7" fillId="4" fontId="6" numFmtId="9" xfId="0" applyAlignment="1" applyBorder="1" applyFill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6" numFmtId="49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6" numFmtId="40" xfId="0" applyAlignment="1" applyFont="1" applyNumberFormat="1">
      <alignment horizontal="center" vertical="center"/>
    </xf>
    <xf borderId="7" fillId="5" fontId="7" numFmtId="40" xfId="0" applyAlignment="1" applyBorder="1" applyFill="1" applyFont="1" applyNumberFormat="1">
      <alignment horizontal="center" vertical="center"/>
    </xf>
    <xf borderId="7" fillId="5" fontId="7" numFmtId="0" xfId="0" applyAlignment="1" applyBorder="1" applyFill="1" applyFont="1">
      <alignment horizontal="center" vertical="center"/>
    </xf>
    <xf borderId="7" fillId="5" fontId="7" numFmtId="164" xfId="0" applyAlignment="1" applyBorder="1" applyFill="1" applyFont="1" applyNumberFormat="1">
      <alignment horizontal="center" vertical="center"/>
    </xf>
    <xf borderId="7" fillId="4" fontId="8" numFmtId="0" xfId="0" applyAlignment="1" applyBorder="1" applyFill="1" applyFont="1">
      <alignment horizontal="center" vertical="center"/>
    </xf>
    <xf borderId="7" fillId="4" fontId="8" numFmtId="0" xfId="0" applyAlignment="1" applyBorder="1" applyFill="1" applyFont="1">
      <alignment horizontal="center" shrinkToFit="0" vertical="center" wrapText="1"/>
    </xf>
    <xf borderId="7" fillId="4" fontId="8" numFmtId="0" xfId="0" applyAlignment="1" applyBorder="1" applyFill="1" applyFont="1">
      <alignment horizontal="center"/>
    </xf>
    <xf borderId="7" fillId="4" fontId="9" numFmtId="3" xfId="0" applyAlignment="1" applyBorder="1" applyFill="1" applyFont="1" applyNumberFormat="1">
      <alignment horizontal="center" vertical="center"/>
    </xf>
    <xf borderId="7" fillId="4" fontId="9" numFmtId="164" xfId="0" applyAlignment="1" applyBorder="1" applyFill="1" applyFont="1" applyNumberFormat="1">
      <alignment horizontal="center" vertical="center"/>
    </xf>
    <xf borderId="0" fillId="0" fontId="6" numFmtId="3" xfId="0" applyAlignment="1" applyFont="1" applyNumberFormat="1">
      <alignment horizontal="center" vertical="center"/>
    </xf>
    <xf borderId="7" fillId="0" fontId="10" numFmtId="40" xfId="0" applyAlignment="1" applyBorder="1" applyFont="1" applyNumberFormat="1">
      <alignment horizontal="center" vertical="center"/>
    </xf>
    <xf borderId="7" fillId="0" fontId="10" numFmtId="3" xfId="0" applyAlignment="1" applyBorder="1" applyFont="1" applyNumberFormat="1">
      <alignment horizontal="center" vertical="center"/>
    </xf>
    <xf borderId="7" fillId="0" fontId="7" numFmtId="164" xfId="0" applyAlignment="1" applyBorder="1" applyFont="1" applyNumberFormat="1">
      <alignment horizontal="center" vertical="center"/>
    </xf>
    <xf borderId="7" fillId="4" fontId="11" numFmtId="0" xfId="0" applyAlignment="1" applyBorder="1" applyFill="1" applyFont="1">
      <alignment horizontal="center" shrinkToFit="0" vertical="center" wrapText="1"/>
    </xf>
    <xf borderId="7" fillId="4" fontId="11" numFmtId="0" xfId="0" applyAlignment="1" applyBorder="1" applyFill="1" applyFont="1">
      <alignment horizontal="center" vertical="center"/>
    </xf>
    <xf borderId="7" fillId="4" fontId="11" numFmtId="0" xfId="0" applyAlignment="1" applyBorder="1" applyFill="1" applyFont="1">
      <alignment horizontal="center"/>
    </xf>
    <xf borderId="7" fillId="4" fontId="6" numFmtId="164" xfId="0" applyAlignment="1" applyBorder="1" applyFill="1" applyFont="1" applyNumberFormat="1">
      <alignment horizontal="center" vertical="center"/>
    </xf>
    <xf borderId="7" fillId="0" fontId="7" numFmtId="40" xfId="0" applyAlignment="1" applyBorder="1" applyFont="1" applyNumberFormat="1">
      <alignment horizontal="center" vertical="center"/>
    </xf>
    <xf borderId="7" fillId="0" fontId="7" numFmtId="3" xfId="0" applyAlignment="1" applyBorder="1" applyFont="1" applyNumberFormat="1">
      <alignment horizontal="center" vertical="center"/>
    </xf>
    <xf borderId="7" fillId="4" fontId="12" numFmtId="0" xfId="0" applyAlignment="1" applyBorder="1" applyFill="1" applyFont="1">
      <alignment horizontal="center" shrinkToFit="0" vertical="center" wrapText="1"/>
    </xf>
    <xf borderId="7" fillId="4" fontId="12" numFmtId="0" xfId="0" applyAlignment="1" applyBorder="1" applyFill="1" applyFont="1">
      <alignment horizontal="center" vertical="center"/>
    </xf>
    <xf borderId="7" fillId="4" fontId="12" numFmtId="0" xfId="0" applyAlignment="1" applyBorder="1" applyFill="1" applyFont="1">
      <alignment horizontal="center"/>
    </xf>
    <xf borderId="7" fillId="0" fontId="3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6" fillId="0" fontId="13" numFmtId="166" xfId="0" applyAlignment="1" applyBorder="1" applyFont="1" applyNumberFormat="1">
      <alignment horizontal="center" shrinkToFit="1" vertical="center" wrapText="0"/>
    </xf>
    <xf borderId="0" fillId="0" fontId="14" numFmtId="0" xfId="0" applyAlignment="1" applyFont="1">
      <alignment horizontal="center" vertical="center"/>
    </xf>
    <xf borderId="7" fillId="4" fontId="8" numFmtId="0" xfId="0" applyAlignment="1" applyBorder="1" applyFill="1" applyFont="1">
      <alignment horizontal="center" shrinkToFit="0" vertical="center" wrapText="1"/>
    </xf>
    <xf borderId="7" fillId="4" fontId="8" numFmtId="0" xfId="0" applyAlignment="1" applyBorder="1" applyFill="1" applyFont="1">
      <alignment horizontal="center" vertical="center"/>
    </xf>
    <xf borderId="7" fillId="4" fontId="8" numFmtId="0" xfId="0" applyAlignment="1" applyBorder="1" applyFill="1" applyFont="1">
      <alignment horizontal="center"/>
    </xf>
    <xf borderId="7" fillId="6" fontId="3" numFmtId="0" xfId="0" applyAlignment="1" applyBorder="1" applyFill="1" applyFont="1">
      <alignment horizontal="center" vertical="center"/>
    </xf>
    <xf borderId="7" fillId="6" fontId="3" numFmtId="0" xfId="0" applyAlignment="1" applyBorder="1" applyFill="1" applyFont="1">
      <alignment horizontal="center" shrinkToFit="0" vertical="center" wrapText="1"/>
    </xf>
    <xf borderId="7" fillId="6" fontId="3" numFmtId="0" xfId="0" applyAlignment="1" applyBorder="1" applyFill="1" applyFont="1">
      <alignment horizontal="center"/>
    </xf>
    <xf borderId="7" fillId="6" fontId="6" numFmtId="0" xfId="0" applyAlignment="1" applyBorder="1" applyFill="1" applyFont="1">
      <alignment horizontal="center" vertical="center"/>
    </xf>
    <xf borderId="7" fillId="4" fontId="3" numFmtId="0" xfId="0" applyAlignment="1" applyBorder="1" applyFill="1" applyFont="1">
      <alignment horizontal="center" vertical="center"/>
    </xf>
    <xf borderId="7" fillId="4" fontId="3" numFmtId="0" xfId="0" applyAlignment="1" applyBorder="1" applyFill="1" applyFont="1">
      <alignment horizontal="center" shrinkToFit="0" vertical="center" wrapText="1"/>
    </xf>
    <xf borderId="7" fillId="4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51.5"/>
    <col customWidth="1" min="2" max="2" width="21.25"/>
    <col customWidth="1" min="3" max="3" width="26.75"/>
    <col customWidth="1" min="4" max="4" width="19.13"/>
    <col customWidth="1" min="5" max="5" width="22.25"/>
    <col customWidth="1" min="6" max="6" width="17.63"/>
    <col customWidth="1" min="7" max="7" width="20.0"/>
    <col customWidth="1" min="8" max="8" width="33.5"/>
    <col customWidth="1" min="9" max="9" width="29.0"/>
    <col customWidth="1" min="10" max="10" width="27.88"/>
    <col customWidth="1" min="11" max="11" width="4.25"/>
    <col customWidth="1" min="12" max="12" width="14.5"/>
    <col customWidth="1" min="13" max="13" width="4.25"/>
    <col customWidth="1" min="14" max="14" width="14.5"/>
    <col customWidth="1" min="15" max="15" width="4.25"/>
    <col customWidth="1" min="16" max="16" width="28.63"/>
    <col customWidth="1" min="17" max="17" width="16.5"/>
    <col customWidth="1" min="18" max="18" width="10.5"/>
    <col customWidth="1" min="19" max="19" width="15.25"/>
    <col customWidth="1" min="20" max="20" width="12.88"/>
    <col customWidth="1" min="21" max="24" width="8.63"/>
    <col customWidth="1" min="25" max="25" width="19.25"/>
    <col customWidth="1" min="26" max="26" width="21.0"/>
    <col customWidth="1" min="27" max="29" width="8.63"/>
    <col customWidth="1" min="30" max="30" width="20.5"/>
    <col customWidth="1" min="31" max="31" width="17.25"/>
    <col customWidth="1" min="32" max="32" width="16.75"/>
    <col customWidth="1" min="33" max="33" width="11.0"/>
    <col customWidth="1" min="34" max="34" width="11.88"/>
    <col customWidth="1" min="35" max="35" width="23.88"/>
    <col customWidth="1" min="36" max="36" width="10.88"/>
    <col customWidth="1" min="37" max="37" width="9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/>
      <c r="L1" s="4"/>
      <c r="M1" s="4"/>
      <c r="N1" s="4"/>
      <c r="O1" s="5"/>
      <c r="P1" s="6" t="s">
        <v>10</v>
      </c>
      <c r="Q1" s="6" t="s">
        <v>11</v>
      </c>
      <c r="R1" s="6" t="s">
        <v>12</v>
      </c>
      <c r="S1" s="7" t="s">
        <v>13</v>
      </c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10" t="s">
        <v>14</v>
      </c>
      <c r="AG1" s="10" t="s">
        <v>15</v>
      </c>
      <c r="AH1" s="10" t="s">
        <v>16</v>
      </c>
      <c r="AI1" s="11" t="s">
        <v>10</v>
      </c>
      <c r="AJ1" s="11" t="s">
        <v>17</v>
      </c>
      <c r="AK1" s="11" t="s">
        <v>12</v>
      </c>
    </row>
    <row r="2" ht="15.0" customHeight="1">
      <c r="A2" s="12"/>
      <c r="B2" s="12"/>
      <c r="C2" s="12"/>
      <c r="D2" s="12"/>
      <c r="E2" s="12"/>
      <c r="F2" s="12"/>
      <c r="G2" s="12"/>
      <c r="H2" s="12"/>
      <c r="I2" s="12"/>
      <c r="J2" s="13" t="s">
        <v>18</v>
      </c>
      <c r="K2" s="14" t="s">
        <v>19</v>
      </c>
      <c r="L2" s="14" t="s">
        <v>20</v>
      </c>
      <c r="M2" s="14" t="s">
        <v>19</v>
      </c>
      <c r="N2" s="14" t="s">
        <v>20</v>
      </c>
      <c r="O2" s="14" t="s">
        <v>19</v>
      </c>
      <c r="P2" s="12"/>
      <c r="Q2" s="12"/>
      <c r="R2" s="12"/>
      <c r="S2" s="12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5"/>
      <c r="AG2" s="15"/>
      <c r="AH2" s="15"/>
      <c r="AI2" s="15"/>
      <c r="AJ2" s="15"/>
      <c r="AK2" s="15"/>
    </row>
    <row r="3" ht="14.25" customHeight="1">
      <c r="A3" s="16" t="s">
        <v>21</v>
      </c>
      <c r="B3" s="17">
        <v>25124.0</v>
      </c>
      <c r="C3" s="17" t="s">
        <v>22</v>
      </c>
      <c r="D3" s="17">
        <v>1.0</v>
      </c>
      <c r="E3" s="16" t="s">
        <v>23</v>
      </c>
      <c r="F3" s="17" t="s">
        <v>24</v>
      </c>
      <c r="G3" s="18" t="s">
        <v>25</v>
      </c>
      <c r="H3" s="19" t="s">
        <v>26</v>
      </c>
      <c r="I3" s="19" t="s">
        <v>27</v>
      </c>
      <c r="J3" s="20"/>
      <c r="K3" s="21"/>
      <c r="L3" s="21"/>
      <c r="M3" s="21"/>
      <c r="N3" s="21"/>
      <c r="O3" s="21"/>
      <c r="P3" s="21" t="s">
        <v>28</v>
      </c>
      <c r="Q3" s="21">
        <v>900.0</v>
      </c>
      <c r="R3" s="22">
        <v>46267.0</v>
      </c>
      <c r="S3" s="23"/>
      <c r="T3" s="9"/>
      <c r="U3" s="9"/>
      <c r="V3" s="9"/>
      <c r="W3" s="24"/>
      <c r="X3" s="24"/>
      <c r="Y3" s="24"/>
      <c r="Z3" s="24"/>
      <c r="AA3" s="9"/>
      <c r="AB3" s="9"/>
      <c r="AC3" s="9"/>
      <c r="AD3" s="9"/>
      <c r="AE3" s="9"/>
      <c r="AF3" s="25"/>
      <c r="AG3" s="25"/>
      <c r="AH3" s="25"/>
      <c r="AI3" s="25"/>
      <c r="AJ3" s="25"/>
      <c r="AK3" s="25"/>
    </row>
    <row r="4" ht="14.25" customHeight="1">
      <c r="A4" s="16" t="s">
        <v>21</v>
      </c>
      <c r="B4" s="17">
        <v>25124.0</v>
      </c>
      <c r="C4" s="17" t="s">
        <v>22</v>
      </c>
      <c r="D4" s="17">
        <v>2.0</v>
      </c>
      <c r="E4" s="16" t="s">
        <v>23</v>
      </c>
      <c r="F4" s="17" t="s">
        <v>24</v>
      </c>
      <c r="G4" s="18" t="s">
        <v>25</v>
      </c>
      <c r="H4" s="19" t="s">
        <v>26</v>
      </c>
      <c r="I4" s="19" t="s">
        <v>27</v>
      </c>
      <c r="J4" s="26"/>
      <c r="K4" s="27"/>
      <c r="L4" s="27"/>
      <c r="M4" s="27"/>
      <c r="N4" s="27"/>
      <c r="O4" s="27"/>
      <c r="P4" s="27" t="s">
        <v>29</v>
      </c>
      <c r="Q4" s="27">
        <v>80.0</v>
      </c>
      <c r="R4" s="22">
        <v>46268.0</v>
      </c>
      <c r="S4" s="28"/>
      <c r="T4" s="29"/>
      <c r="U4" s="24"/>
      <c r="V4" s="24"/>
      <c r="W4" s="30"/>
      <c r="X4" s="31"/>
      <c r="Y4" s="30"/>
      <c r="Z4" s="29"/>
      <c r="AA4" s="32"/>
      <c r="AB4" s="31"/>
      <c r="AC4" s="24"/>
      <c r="AD4" s="32"/>
      <c r="AE4" s="32"/>
      <c r="AF4" s="33">
        <v>12.0</v>
      </c>
      <c r="AG4" s="33"/>
      <c r="AH4" s="33">
        <f t="shared" ref="AH4:AH8" si="1">+AA4+AD4+AF4+AE4+AG4</f>
        <v>12</v>
      </c>
      <c r="AI4" s="34" t="s">
        <v>28</v>
      </c>
      <c r="AJ4" s="34">
        <v>900.0</v>
      </c>
      <c r="AK4" s="35">
        <v>46267.0</v>
      </c>
    </row>
    <row r="5" ht="14.25" customHeight="1">
      <c r="A5" s="36" t="s">
        <v>21</v>
      </c>
      <c r="B5" s="37">
        <v>25124.0</v>
      </c>
      <c r="C5" s="37" t="s">
        <v>22</v>
      </c>
      <c r="D5" s="37">
        <v>1.0</v>
      </c>
      <c r="E5" s="36" t="s">
        <v>23</v>
      </c>
      <c r="F5" s="37" t="s">
        <v>24</v>
      </c>
      <c r="G5" s="38" t="s">
        <v>25</v>
      </c>
      <c r="H5" s="19" t="s">
        <v>30</v>
      </c>
      <c r="I5" s="19" t="s">
        <v>27</v>
      </c>
      <c r="J5" s="26"/>
      <c r="K5" s="39"/>
      <c r="L5" s="39"/>
      <c r="M5" s="39"/>
      <c r="N5" s="39"/>
      <c r="O5" s="39"/>
      <c r="P5" s="39" t="s">
        <v>29</v>
      </c>
      <c r="Q5" s="39">
        <v>50.0</v>
      </c>
      <c r="R5" s="40">
        <v>46269.0</v>
      </c>
      <c r="S5" s="26"/>
      <c r="T5" s="29"/>
      <c r="U5" s="24"/>
      <c r="V5" s="24"/>
      <c r="W5" s="30"/>
      <c r="X5" s="31"/>
      <c r="Y5" s="30"/>
      <c r="Z5" s="29"/>
      <c r="AA5" s="32"/>
      <c r="AB5" s="24"/>
      <c r="AC5" s="41"/>
      <c r="AD5" s="32"/>
      <c r="AE5" s="32"/>
      <c r="AF5" s="33">
        <v>0.0</v>
      </c>
      <c r="AG5" s="42"/>
      <c r="AH5" s="42">
        <f t="shared" si="1"/>
        <v>0</v>
      </c>
      <c r="AI5" s="43" t="s">
        <v>29</v>
      </c>
      <c r="AJ5" s="43">
        <v>80.0</v>
      </c>
      <c r="AK5" s="44">
        <v>46268.0</v>
      </c>
    </row>
    <row r="6" ht="14.25" customHeight="1">
      <c r="A6" s="36" t="s">
        <v>21</v>
      </c>
      <c r="B6" s="37">
        <v>25124.0</v>
      </c>
      <c r="C6" s="37" t="s">
        <v>22</v>
      </c>
      <c r="D6" s="37">
        <v>2.0</v>
      </c>
      <c r="E6" s="36" t="s">
        <v>23</v>
      </c>
      <c r="F6" s="37" t="s">
        <v>24</v>
      </c>
      <c r="G6" s="38" t="s">
        <v>25</v>
      </c>
      <c r="H6" s="19" t="s">
        <v>30</v>
      </c>
      <c r="I6" s="19" t="s">
        <v>27</v>
      </c>
      <c r="J6" s="20"/>
      <c r="K6" s="39"/>
      <c r="L6" s="39"/>
      <c r="M6" s="39"/>
      <c r="N6" s="39"/>
      <c r="O6" s="39"/>
      <c r="P6" s="39" t="s">
        <v>31</v>
      </c>
      <c r="Q6" s="39">
        <v>140.0</v>
      </c>
      <c r="R6" s="40">
        <v>46270.0</v>
      </c>
      <c r="S6" s="26"/>
      <c r="T6" s="29"/>
      <c r="U6" s="24"/>
      <c r="V6" s="24"/>
      <c r="W6" s="29"/>
      <c r="X6" s="29"/>
      <c r="Y6" s="29"/>
      <c r="Z6" s="24"/>
      <c r="AA6" s="32"/>
      <c r="AB6" s="24"/>
      <c r="AC6" s="41"/>
      <c r="AD6" s="32"/>
      <c r="AE6" s="32"/>
      <c r="AF6" s="33">
        <f t="shared" ref="AF6:AF7" si="2">IF(AB6="Freeze","Check",IF(ISNUMBER(SEARCH("LME",AB6)),($AF$9-IFERROR(LEFT(RIGHT(AB6,LEN(AB6)-SEARCH("$",AB6)),SEARCH(" ",RIGHT(AB6,LEN(AB6)-SEARCH("$",AB6)))),RIGHT(AB6,LEN(AB6)-SEARCH("$",AB6))))/1000*22.5,0))</f>
        <v>0</v>
      </c>
      <c r="AG6" s="42"/>
      <c r="AH6" s="42">
        <f t="shared" si="1"/>
        <v>0</v>
      </c>
      <c r="AI6" s="43" t="s">
        <v>29</v>
      </c>
      <c r="AJ6" s="43">
        <v>50.0</v>
      </c>
      <c r="AK6" s="44">
        <v>46269.0</v>
      </c>
    </row>
    <row r="7" ht="14.25" customHeight="1">
      <c r="A7" s="17" t="s">
        <v>32</v>
      </c>
      <c r="B7" s="17">
        <v>26213.0</v>
      </c>
      <c r="C7" s="17" t="s">
        <v>33</v>
      </c>
      <c r="D7" s="17">
        <v>1.0</v>
      </c>
      <c r="E7" s="16" t="s">
        <v>34</v>
      </c>
      <c r="F7" s="17" t="s">
        <v>35</v>
      </c>
      <c r="G7" s="18" t="s">
        <v>25</v>
      </c>
      <c r="H7" s="19" t="s">
        <v>26</v>
      </c>
      <c r="I7" s="19" t="s">
        <v>27</v>
      </c>
      <c r="J7" s="26"/>
      <c r="K7" s="27"/>
      <c r="L7" s="27"/>
      <c r="M7" s="27"/>
      <c r="N7" s="27"/>
      <c r="O7" s="27"/>
      <c r="P7" s="27" t="s">
        <v>36</v>
      </c>
      <c r="Q7" s="27">
        <v>134.0</v>
      </c>
      <c r="R7" s="22">
        <v>46271.0</v>
      </c>
      <c r="S7" s="28"/>
      <c r="T7" s="29"/>
      <c r="U7" s="24"/>
      <c r="V7" s="24"/>
      <c r="W7" s="29"/>
      <c r="X7" s="29"/>
      <c r="Y7" s="29"/>
      <c r="Z7" s="24"/>
      <c r="AA7" s="32"/>
      <c r="AB7" s="24"/>
      <c r="AC7" s="24"/>
      <c r="AD7" s="32"/>
      <c r="AE7" s="32"/>
      <c r="AF7" s="33">
        <f t="shared" si="2"/>
        <v>0</v>
      </c>
      <c r="AG7" s="33">
        <f>16000/8000</f>
        <v>2</v>
      </c>
      <c r="AH7" s="33">
        <f t="shared" si="1"/>
        <v>2</v>
      </c>
      <c r="AI7" s="34" t="s">
        <v>31</v>
      </c>
      <c r="AJ7" s="34">
        <v>140.0</v>
      </c>
      <c r="AK7" s="35">
        <v>46270.0</v>
      </c>
    </row>
    <row r="8" ht="14.25" customHeight="1">
      <c r="A8" s="45" t="s">
        <v>32</v>
      </c>
      <c r="B8" s="45">
        <v>26213.0</v>
      </c>
      <c r="C8" s="45" t="s">
        <v>33</v>
      </c>
      <c r="D8" s="45">
        <v>1.0</v>
      </c>
      <c r="E8" s="46" t="s">
        <v>34</v>
      </c>
      <c r="F8" s="45" t="s">
        <v>35</v>
      </c>
      <c r="G8" s="47" t="s">
        <v>25</v>
      </c>
      <c r="H8" s="19" t="s">
        <v>37</v>
      </c>
      <c r="I8" s="19" t="s">
        <v>27</v>
      </c>
      <c r="J8" s="20"/>
      <c r="K8" s="26"/>
      <c r="L8" s="26"/>
      <c r="M8" s="26"/>
      <c r="N8" s="26"/>
      <c r="O8" s="26"/>
      <c r="P8" s="26"/>
      <c r="Q8" s="26"/>
      <c r="R8" s="48"/>
      <c r="S8" s="26"/>
      <c r="T8" s="29"/>
      <c r="U8" s="24"/>
      <c r="V8" s="24"/>
      <c r="W8" s="29"/>
      <c r="X8" s="29"/>
      <c r="Y8" s="29"/>
      <c r="Z8" s="29"/>
      <c r="AA8" s="32"/>
      <c r="AB8" s="41"/>
      <c r="AC8" s="41"/>
      <c r="AD8" s="32"/>
      <c r="AE8" s="32"/>
      <c r="AF8" s="33">
        <v>12.0</v>
      </c>
      <c r="AG8" s="49"/>
      <c r="AH8" s="49">
        <f t="shared" si="1"/>
        <v>12</v>
      </c>
      <c r="AI8" s="50" t="s">
        <v>36</v>
      </c>
      <c r="AJ8" s="50">
        <v>134.0</v>
      </c>
      <c r="AK8" s="44">
        <v>46271.0</v>
      </c>
    </row>
    <row r="9">
      <c r="A9" s="51" t="s">
        <v>32</v>
      </c>
      <c r="B9" s="51">
        <v>26213.0</v>
      </c>
      <c r="C9" s="51" t="s">
        <v>33</v>
      </c>
      <c r="D9" s="51">
        <v>1.0</v>
      </c>
      <c r="E9" s="52" t="s">
        <v>34</v>
      </c>
      <c r="F9" s="51" t="s">
        <v>35</v>
      </c>
      <c r="G9" s="53" t="s">
        <v>25</v>
      </c>
      <c r="H9" s="54" t="s">
        <v>38</v>
      </c>
      <c r="I9" s="54" t="s">
        <v>27</v>
      </c>
      <c r="J9" s="55"/>
      <c r="K9" s="55"/>
      <c r="L9" s="55"/>
      <c r="M9" s="55"/>
      <c r="N9" s="55"/>
      <c r="O9" s="55"/>
      <c r="P9" s="55"/>
      <c r="Q9" s="55"/>
      <c r="R9" s="55"/>
      <c r="S9" s="55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7">
        <v>4253.5</v>
      </c>
      <c r="AG9" s="58"/>
      <c r="AH9" s="58"/>
      <c r="AI9" s="58"/>
      <c r="AJ9" s="58"/>
      <c r="AK9" s="58"/>
    </row>
    <row r="10" ht="14.25" customHeight="1">
      <c r="A10" s="59" t="s">
        <v>32</v>
      </c>
      <c r="B10" s="59">
        <v>26213.0</v>
      </c>
      <c r="C10" s="59" t="s">
        <v>33</v>
      </c>
      <c r="D10" s="59">
        <v>1.0</v>
      </c>
      <c r="E10" s="60" t="s">
        <v>34</v>
      </c>
      <c r="F10" s="59" t="s">
        <v>35</v>
      </c>
      <c r="G10" s="61" t="s">
        <v>25</v>
      </c>
      <c r="H10" s="54" t="s">
        <v>30</v>
      </c>
      <c r="I10" s="54" t="s">
        <v>27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8"/>
      <c r="AG10" s="58"/>
      <c r="AH10" s="58"/>
      <c r="AI10" s="58"/>
      <c r="AJ10" s="58"/>
      <c r="AK10" s="58"/>
    </row>
    <row r="11" ht="14.25" customHeight="1">
      <c r="A11" s="62" t="s">
        <v>39</v>
      </c>
      <c r="B11" s="63">
        <v>25428.0</v>
      </c>
      <c r="C11" s="63" t="s">
        <v>40</v>
      </c>
      <c r="D11" s="63">
        <v>1.0</v>
      </c>
      <c r="E11" s="62" t="s">
        <v>41</v>
      </c>
      <c r="F11" s="63" t="s">
        <v>42</v>
      </c>
      <c r="G11" s="64" t="s">
        <v>25</v>
      </c>
      <c r="H11" s="54" t="s">
        <v>26</v>
      </c>
      <c r="I11" s="54" t="s">
        <v>43</v>
      </c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8"/>
      <c r="AG11" s="58"/>
      <c r="AH11" s="58"/>
      <c r="AI11" s="58"/>
      <c r="AJ11" s="58"/>
      <c r="AK11" s="58"/>
    </row>
    <row r="12" ht="14.25" customHeight="1">
      <c r="A12" s="66" t="s">
        <v>39</v>
      </c>
      <c r="B12" s="67">
        <v>25428.0</v>
      </c>
      <c r="C12" s="67" t="s">
        <v>40</v>
      </c>
      <c r="D12" s="67">
        <v>2.0</v>
      </c>
      <c r="E12" s="66" t="s">
        <v>41</v>
      </c>
      <c r="F12" s="67" t="s">
        <v>42</v>
      </c>
      <c r="G12" s="68" t="s">
        <v>25</v>
      </c>
      <c r="H12" s="54" t="s">
        <v>26</v>
      </c>
      <c r="I12" s="54" t="s">
        <v>27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8"/>
      <c r="AG12" s="58"/>
      <c r="AH12" s="58"/>
      <c r="AI12" s="58"/>
      <c r="AJ12" s="58"/>
      <c r="AK12" s="58"/>
    </row>
    <row r="13" ht="14.25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8"/>
      <c r="AG13" s="58"/>
      <c r="AH13" s="58"/>
      <c r="AI13" s="58"/>
      <c r="AJ13" s="58"/>
      <c r="AK13" s="58"/>
    </row>
    <row r="14" ht="14.2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8"/>
      <c r="AG14" s="58"/>
      <c r="AH14" s="58"/>
      <c r="AI14" s="58"/>
      <c r="AJ14" s="58"/>
      <c r="AK14" s="58"/>
    </row>
    <row r="15" ht="14.2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8"/>
      <c r="AG15" s="58"/>
      <c r="AH15" s="58"/>
      <c r="AI15" s="58"/>
      <c r="AJ15" s="58"/>
      <c r="AK15" s="58"/>
    </row>
    <row r="16" ht="14.25" customHeight="1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8"/>
      <c r="AG16" s="58"/>
      <c r="AH16" s="58"/>
      <c r="AI16" s="58"/>
      <c r="AJ16" s="58"/>
      <c r="AK16" s="58"/>
    </row>
    <row r="17" ht="14.25" customHeigh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8"/>
      <c r="AG17" s="58"/>
      <c r="AH17" s="58"/>
      <c r="AI17" s="58"/>
      <c r="AJ17" s="58"/>
      <c r="AK17" s="58"/>
    </row>
    <row r="18" ht="14.25" customHeight="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8"/>
      <c r="AG18" s="58"/>
      <c r="AH18" s="58"/>
      <c r="AI18" s="58"/>
      <c r="AJ18" s="58"/>
      <c r="AK18" s="58"/>
    </row>
    <row r="19" ht="14.25" customHeight="1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8"/>
      <c r="AG19" s="58"/>
      <c r="AH19" s="58"/>
      <c r="AI19" s="58"/>
      <c r="AJ19" s="58"/>
      <c r="AK19" s="58"/>
    </row>
    <row r="20" ht="14.25" customHeight="1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8"/>
      <c r="AG20" s="58"/>
      <c r="AH20" s="58"/>
      <c r="AI20" s="58"/>
      <c r="AJ20" s="58"/>
      <c r="AK20" s="58"/>
    </row>
    <row r="21" ht="14.2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8"/>
      <c r="AG21" s="58"/>
      <c r="AH21" s="58"/>
      <c r="AI21" s="58"/>
      <c r="AJ21" s="58"/>
      <c r="AK21" s="58"/>
    </row>
    <row r="22" ht="14.25" customHeight="1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8"/>
      <c r="AG22" s="58"/>
      <c r="AH22" s="58"/>
      <c r="AI22" s="58"/>
      <c r="AJ22" s="58"/>
      <c r="AK22" s="58"/>
    </row>
    <row r="23" ht="14.25" customHeight="1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8"/>
      <c r="AG23" s="58"/>
      <c r="AH23" s="58"/>
      <c r="AI23" s="58"/>
      <c r="AJ23" s="58"/>
      <c r="AK23" s="58"/>
    </row>
    <row r="24" ht="14.25" customHeight="1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8"/>
      <c r="AG24" s="58"/>
      <c r="AH24" s="58"/>
      <c r="AI24" s="58"/>
      <c r="AJ24" s="58"/>
      <c r="AK24" s="58"/>
    </row>
    <row r="25" ht="14.25" customHeight="1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8"/>
      <c r="AG25" s="58"/>
      <c r="AH25" s="58"/>
      <c r="AI25" s="58"/>
      <c r="AJ25" s="58"/>
      <c r="AK25" s="58"/>
    </row>
    <row r="26" ht="14.25" customHeight="1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8"/>
      <c r="AG26" s="58"/>
      <c r="AH26" s="58"/>
      <c r="AI26" s="58"/>
      <c r="AJ26" s="58"/>
      <c r="AK26" s="58"/>
    </row>
    <row r="27" ht="14.2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8"/>
      <c r="AG27" s="58"/>
      <c r="AH27" s="58"/>
      <c r="AI27" s="58"/>
      <c r="AJ27" s="58"/>
      <c r="AK27" s="58"/>
    </row>
    <row r="28" ht="14.2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8"/>
      <c r="AG28" s="58"/>
      <c r="AH28" s="58"/>
      <c r="AI28" s="58"/>
      <c r="AJ28" s="58"/>
      <c r="AK28" s="58"/>
    </row>
    <row r="29" ht="14.2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8"/>
      <c r="AG29" s="58"/>
      <c r="AH29" s="58"/>
      <c r="AI29" s="58"/>
      <c r="AJ29" s="58"/>
      <c r="AK29" s="58"/>
    </row>
    <row r="30" ht="14.2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8"/>
      <c r="AG30" s="58"/>
      <c r="AH30" s="58"/>
      <c r="AI30" s="58"/>
      <c r="AJ30" s="58"/>
      <c r="AK30" s="58"/>
    </row>
    <row r="31" ht="14.2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8"/>
      <c r="AG31" s="58"/>
      <c r="AH31" s="58"/>
      <c r="AI31" s="58"/>
      <c r="AJ31" s="58"/>
      <c r="AK31" s="58"/>
    </row>
    <row r="32" ht="14.2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8"/>
      <c r="AG32" s="58"/>
      <c r="AH32" s="58"/>
      <c r="AI32" s="58"/>
      <c r="AJ32" s="58"/>
      <c r="AK32" s="58"/>
    </row>
    <row r="33" ht="14.2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8"/>
      <c r="AG33" s="58"/>
      <c r="AH33" s="58"/>
      <c r="AI33" s="58"/>
      <c r="AJ33" s="58"/>
      <c r="AK33" s="58"/>
    </row>
    <row r="34" ht="14.2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8"/>
      <c r="AG34" s="58"/>
      <c r="AH34" s="58"/>
      <c r="AI34" s="58"/>
      <c r="AJ34" s="58"/>
      <c r="AK34" s="58"/>
    </row>
    <row r="35" ht="14.2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8"/>
      <c r="AG35" s="58"/>
      <c r="AH35" s="58"/>
      <c r="AI35" s="58"/>
      <c r="AJ35" s="58"/>
      <c r="AK35" s="58"/>
    </row>
    <row r="36" ht="14.2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8"/>
      <c r="AG36" s="58"/>
      <c r="AH36" s="58"/>
      <c r="AI36" s="58"/>
      <c r="AJ36" s="58"/>
      <c r="AK36" s="58"/>
    </row>
    <row r="37" ht="14.2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8"/>
      <c r="AG37" s="58"/>
      <c r="AH37" s="58"/>
      <c r="AI37" s="58"/>
      <c r="AJ37" s="58"/>
      <c r="AK37" s="58"/>
    </row>
    <row r="38" ht="14.2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8"/>
      <c r="AG38" s="58"/>
      <c r="AH38" s="58"/>
      <c r="AI38" s="58"/>
      <c r="AJ38" s="58"/>
      <c r="AK38" s="58"/>
    </row>
    <row r="39" ht="14.2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8"/>
      <c r="AG39" s="58"/>
      <c r="AH39" s="58"/>
      <c r="AI39" s="58"/>
      <c r="AJ39" s="58"/>
      <c r="AK39" s="58"/>
    </row>
    <row r="40" ht="14.2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8"/>
      <c r="AG40" s="58"/>
      <c r="AH40" s="58"/>
      <c r="AI40" s="58"/>
      <c r="AJ40" s="58"/>
      <c r="AK40" s="58"/>
    </row>
    <row r="41" ht="14.2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8"/>
      <c r="AG41" s="58"/>
      <c r="AH41" s="58"/>
      <c r="AI41" s="58"/>
      <c r="AJ41" s="58"/>
      <c r="AK41" s="58"/>
    </row>
    <row r="42" ht="14.2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8"/>
      <c r="AG42" s="58"/>
      <c r="AH42" s="58"/>
      <c r="AI42" s="58"/>
      <c r="AJ42" s="58"/>
      <c r="AK42" s="58"/>
    </row>
    <row r="43" ht="14.2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8"/>
      <c r="AG43" s="58"/>
      <c r="AH43" s="58"/>
      <c r="AI43" s="58"/>
      <c r="AJ43" s="58"/>
      <c r="AK43" s="58"/>
    </row>
    <row r="44" ht="14.2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8"/>
      <c r="AG44" s="58"/>
      <c r="AH44" s="58"/>
      <c r="AI44" s="58"/>
      <c r="AJ44" s="58"/>
      <c r="AK44" s="58"/>
    </row>
    <row r="45" ht="14.2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8"/>
      <c r="AG45" s="58"/>
      <c r="AH45" s="58"/>
      <c r="AI45" s="58"/>
      <c r="AJ45" s="58"/>
      <c r="AK45" s="58"/>
    </row>
    <row r="46" ht="14.2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8"/>
      <c r="AG46" s="58"/>
      <c r="AH46" s="58"/>
      <c r="AI46" s="58"/>
      <c r="AJ46" s="58"/>
      <c r="AK46" s="58"/>
    </row>
    <row r="47" ht="14.2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8"/>
      <c r="AG47" s="58"/>
      <c r="AH47" s="58"/>
      <c r="AI47" s="58"/>
      <c r="AJ47" s="58"/>
      <c r="AK47" s="58"/>
    </row>
    <row r="48" ht="14.2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8"/>
      <c r="AG48" s="58"/>
      <c r="AH48" s="58"/>
      <c r="AI48" s="58"/>
      <c r="AJ48" s="58"/>
      <c r="AK48" s="58"/>
    </row>
    <row r="49" ht="14.2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8"/>
      <c r="AG49" s="58"/>
      <c r="AH49" s="58"/>
      <c r="AI49" s="58"/>
      <c r="AJ49" s="58"/>
      <c r="AK49" s="58"/>
    </row>
    <row r="50" ht="14.2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8"/>
      <c r="AG50" s="58"/>
      <c r="AH50" s="58"/>
      <c r="AI50" s="58"/>
      <c r="AJ50" s="58"/>
      <c r="AK50" s="58"/>
    </row>
    <row r="51" ht="14.2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8"/>
      <c r="AG51" s="58"/>
      <c r="AH51" s="58"/>
      <c r="AI51" s="58"/>
      <c r="AJ51" s="58"/>
      <c r="AK51" s="58"/>
    </row>
    <row r="52" ht="14.2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8"/>
      <c r="AG52" s="58"/>
      <c r="AH52" s="58"/>
      <c r="AI52" s="58"/>
      <c r="AJ52" s="58"/>
      <c r="AK52" s="58"/>
    </row>
    <row r="53" ht="14.2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8"/>
      <c r="AG53" s="58"/>
      <c r="AH53" s="58"/>
      <c r="AI53" s="58"/>
      <c r="AJ53" s="58"/>
      <c r="AK53" s="58"/>
    </row>
    <row r="54" ht="14.2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8"/>
      <c r="AG54" s="58"/>
      <c r="AH54" s="58"/>
      <c r="AI54" s="58"/>
      <c r="AJ54" s="58"/>
      <c r="AK54" s="58"/>
    </row>
    <row r="55" ht="14.2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8"/>
      <c r="AG55" s="58"/>
      <c r="AH55" s="58"/>
      <c r="AI55" s="58"/>
      <c r="AJ55" s="58"/>
      <c r="AK55" s="58"/>
    </row>
    <row r="56" ht="14.2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8"/>
      <c r="AG56" s="58"/>
      <c r="AH56" s="58"/>
      <c r="AI56" s="58"/>
      <c r="AJ56" s="58"/>
      <c r="AK56" s="58"/>
    </row>
    <row r="57" ht="14.2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8"/>
      <c r="AG57" s="58"/>
      <c r="AH57" s="58"/>
      <c r="AI57" s="58"/>
      <c r="AJ57" s="58"/>
      <c r="AK57" s="58"/>
    </row>
    <row r="58" ht="14.2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8"/>
      <c r="AG58" s="58"/>
      <c r="AH58" s="58"/>
      <c r="AI58" s="58"/>
      <c r="AJ58" s="58"/>
      <c r="AK58" s="58"/>
    </row>
    <row r="59" ht="14.2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8"/>
      <c r="AG59" s="58"/>
      <c r="AH59" s="58"/>
      <c r="AI59" s="58"/>
      <c r="AJ59" s="58"/>
      <c r="AK59" s="58"/>
    </row>
    <row r="60" ht="14.2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8"/>
      <c r="AG60" s="58"/>
      <c r="AH60" s="58"/>
      <c r="AI60" s="58"/>
      <c r="AJ60" s="58"/>
      <c r="AK60" s="58"/>
    </row>
    <row r="61" ht="14.2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8"/>
      <c r="AG61" s="58"/>
      <c r="AH61" s="58"/>
      <c r="AI61" s="58"/>
      <c r="AJ61" s="58"/>
      <c r="AK61" s="58"/>
    </row>
    <row r="62" ht="14.2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8"/>
      <c r="AG62" s="58"/>
      <c r="AH62" s="58"/>
      <c r="AI62" s="58"/>
      <c r="AJ62" s="58"/>
      <c r="AK62" s="58"/>
    </row>
    <row r="63" ht="14.2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8"/>
      <c r="AG63" s="58"/>
      <c r="AH63" s="58"/>
      <c r="AI63" s="58"/>
      <c r="AJ63" s="58"/>
      <c r="AK63" s="58"/>
    </row>
    <row r="64" ht="14.2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8"/>
      <c r="AG64" s="58"/>
      <c r="AH64" s="58"/>
      <c r="AI64" s="58"/>
      <c r="AJ64" s="58"/>
      <c r="AK64" s="58"/>
    </row>
    <row r="65" ht="14.2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8"/>
      <c r="AG65" s="58"/>
      <c r="AH65" s="58"/>
      <c r="AI65" s="58"/>
      <c r="AJ65" s="58"/>
      <c r="AK65" s="58"/>
    </row>
    <row r="66" ht="14.2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8"/>
      <c r="AG66" s="58"/>
      <c r="AH66" s="58"/>
      <c r="AI66" s="58"/>
      <c r="AJ66" s="58"/>
      <c r="AK66" s="58"/>
    </row>
    <row r="67" ht="14.2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8"/>
      <c r="AG67" s="58"/>
      <c r="AH67" s="58"/>
      <c r="AI67" s="58"/>
      <c r="AJ67" s="58"/>
      <c r="AK67" s="58"/>
    </row>
    <row r="68" ht="14.2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8"/>
      <c r="AG68" s="58"/>
      <c r="AH68" s="58"/>
      <c r="AI68" s="58"/>
      <c r="AJ68" s="58"/>
      <c r="AK68" s="58"/>
    </row>
    <row r="69" ht="14.2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8"/>
      <c r="AG69" s="58"/>
      <c r="AH69" s="58"/>
      <c r="AI69" s="58"/>
      <c r="AJ69" s="58"/>
      <c r="AK69" s="58"/>
    </row>
    <row r="70" ht="14.2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8"/>
      <c r="AG70" s="58"/>
      <c r="AH70" s="58"/>
      <c r="AI70" s="58"/>
      <c r="AJ70" s="58"/>
      <c r="AK70" s="58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8"/>
      <c r="AG71" s="58"/>
      <c r="AH71" s="58"/>
      <c r="AI71" s="58"/>
      <c r="AJ71" s="58"/>
      <c r="AK71" s="58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8"/>
      <c r="AG72" s="58"/>
      <c r="AH72" s="58"/>
      <c r="AI72" s="58"/>
      <c r="AJ72" s="58"/>
      <c r="AK72" s="58"/>
    </row>
    <row r="73" ht="14.2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8"/>
      <c r="AG73" s="58"/>
      <c r="AH73" s="58"/>
      <c r="AI73" s="58"/>
      <c r="AJ73" s="58"/>
      <c r="AK73" s="58"/>
    </row>
    <row r="74" ht="14.2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8"/>
      <c r="AG74" s="58"/>
      <c r="AH74" s="58"/>
      <c r="AI74" s="58"/>
      <c r="AJ74" s="58"/>
      <c r="AK74" s="58"/>
    </row>
    <row r="75" ht="14.2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8"/>
      <c r="AG75" s="58"/>
      <c r="AH75" s="58"/>
      <c r="AI75" s="58"/>
      <c r="AJ75" s="58"/>
      <c r="AK75" s="58"/>
    </row>
    <row r="76" ht="14.2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8"/>
      <c r="AG76" s="58"/>
      <c r="AH76" s="58"/>
      <c r="AI76" s="58"/>
      <c r="AJ76" s="58"/>
      <c r="AK76" s="58"/>
    </row>
    <row r="77" ht="14.2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8"/>
      <c r="AG77" s="58"/>
      <c r="AH77" s="58"/>
      <c r="AI77" s="58"/>
      <c r="AJ77" s="58"/>
      <c r="AK77" s="58"/>
    </row>
    <row r="78" ht="14.2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8"/>
      <c r="AG78" s="58"/>
      <c r="AH78" s="58"/>
      <c r="AI78" s="58"/>
      <c r="AJ78" s="58"/>
      <c r="AK78" s="58"/>
    </row>
    <row r="79" ht="14.2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8"/>
      <c r="AG79" s="58"/>
      <c r="AH79" s="58"/>
      <c r="AI79" s="58"/>
      <c r="AJ79" s="58"/>
      <c r="AK79" s="58"/>
    </row>
    <row r="80" ht="14.2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8"/>
      <c r="AG80" s="58"/>
      <c r="AH80" s="58"/>
      <c r="AI80" s="58"/>
      <c r="AJ80" s="58"/>
      <c r="AK80" s="58"/>
    </row>
    <row r="81" ht="14.2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8"/>
      <c r="AG81" s="58"/>
      <c r="AH81" s="58"/>
      <c r="AI81" s="58"/>
      <c r="AJ81" s="58"/>
      <c r="AK81" s="58"/>
    </row>
    <row r="82" ht="14.2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8"/>
      <c r="AG82" s="58"/>
      <c r="AH82" s="58"/>
      <c r="AI82" s="58"/>
      <c r="AJ82" s="58"/>
      <c r="AK82" s="58"/>
    </row>
    <row r="83" ht="14.2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8"/>
      <c r="AG83" s="58"/>
      <c r="AH83" s="58"/>
      <c r="AI83" s="58"/>
      <c r="AJ83" s="58"/>
      <c r="AK83" s="58"/>
    </row>
    <row r="84" ht="14.2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8"/>
      <c r="AG84" s="58"/>
      <c r="AH84" s="58"/>
      <c r="AI84" s="58"/>
      <c r="AJ84" s="58"/>
      <c r="AK84" s="58"/>
    </row>
    <row r="85" ht="14.2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8"/>
      <c r="AG85" s="58"/>
      <c r="AH85" s="58"/>
      <c r="AI85" s="58"/>
      <c r="AJ85" s="58"/>
      <c r="AK85" s="58"/>
    </row>
    <row r="86" ht="14.2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8"/>
      <c r="AG86" s="58"/>
      <c r="AH86" s="58"/>
      <c r="AI86" s="58"/>
      <c r="AJ86" s="58"/>
      <c r="AK86" s="58"/>
    </row>
    <row r="87" ht="14.2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8"/>
      <c r="AG87" s="58"/>
      <c r="AH87" s="58"/>
      <c r="AI87" s="58"/>
      <c r="AJ87" s="58"/>
      <c r="AK87" s="58"/>
    </row>
    <row r="88" ht="14.2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8"/>
      <c r="AG88" s="58"/>
      <c r="AH88" s="58"/>
      <c r="AI88" s="58"/>
      <c r="AJ88" s="58"/>
      <c r="AK88" s="58"/>
    </row>
    <row r="89" ht="14.2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8"/>
      <c r="AG89" s="58"/>
      <c r="AH89" s="58"/>
      <c r="AI89" s="58"/>
      <c r="AJ89" s="58"/>
      <c r="AK89" s="58"/>
    </row>
    <row r="90" ht="14.2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8"/>
      <c r="AG90" s="58"/>
      <c r="AH90" s="58"/>
      <c r="AI90" s="58"/>
      <c r="AJ90" s="58"/>
      <c r="AK90" s="58"/>
    </row>
    <row r="91" ht="14.2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8"/>
      <c r="AG91" s="58"/>
      <c r="AH91" s="58"/>
      <c r="AI91" s="58"/>
      <c r="AJ91" s="58"/>
      <c r="AK91" s="58"/>
    </row>
    <row r="92" ht="14.2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8"/>
      <c r="AG92" s="58"/>
      <c r="AH92" s="58"/>
      <c r="AI92" s="58"/>
      <c r="AJ92" s="58"/>
      <c r="AK92" s="58"/>
    </row>
    <row r="93" ht="14.2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8"/>
      <c r="AG93" s="58"/>
      <c r="AH93" s="58"/>
      <c r="AI93" s="58"/>
      <c r="AJ93" s="58"/>
      <c r="AK93" s="58"/>
    </row>
    <row r="94" ht="14.2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8"/>
      <c r="AG94" s="58"/>
      <c r="AH94" s="58"/>
      <c r="AI94" s="58"/>
      <c r="AJ94" s="58"/>
      <c r="AK94" s="58"/>
    </row>
    <row r="95" ht="14.2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8"/>
      <c r="AG95" s="58"/>
      <c r="AH95" s="58"/>
      <c r="AI95" s="58"/>
      <c r="AJ95" s="58"/>
      <c r="AK95" s="58"/>
    </row>
    <row r="96" ht="14.2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8"/>
      <c r="AG96" s="58"/>
      <c r="AH96" s="58"/>
      <c r="AI96" s="58"/>
      <c r="AJ96" s="58"/>
      <c r="AK96" s="58"/>
    </row>
    <row r="97" ht="14.2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8"/>
      <c r="AG97" s="58"/>
      <c r="AH97" s="58"/>
      <c r="AI97" s="58"/>
      <c r="AJ97" s="58"/>
      <c r="AK97" s="58"/>
    </row>
    <row r="98" ht="14.2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8"/>
      <c r="AG98" s="58"/>
      <c r="AH98" s="58"/>
      <c r="AI98" s="58"/>
      <c r="AJ98" s="58"/>
      <c r="AK98" s="58"/>
    </row>
    <row r="99" ht="14.2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8"/>
      <c r="AG99" s="58"/>
      <c r="AH99" s="58"/>
      <c r="AI99" s="58"/>
      <c r="AJ99" s="58"/>
      <c r="AK99" s="58"/>
    </row>
    <row r="100" ht="14.2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8"/>
      <c r="AG100" s="58"/>
      <c r="AH100" s="58"/>
      <c r="AI100" s="58"/>
      <c r="AJ100" s="58"/>
      <c r="AK100" s="58"/>
    </row>
    <row r="101" ht="14.2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8"/>
      <c r="AG101" s="58"/>
      <c r="AH101" s="58"/>
      <c r="AI101" s="58"/>
      <c r="AJ101" s="58"/>
      <c r="AK101" s="58"/>
    </row>
    <row r="102" ht="14.2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8"/>
      <c r="AG102" s="58"/>
      <c r="AH102" s="58"/>
      <c r="AI102" s="58"/>
      <c r="AJ102" s="58"/>
      <c r="AK102" s="58"/>
    </row>
    <row r="103" ht="14.2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8"/>
      <c r="AG103" s="58"/>
      <c r="AH103" s="58"/>
      <c r="AI103" s="58"/>
      <c r="AJ103" s="58"/>
      <c r="AK103" s="58"/>
    </row>
    <row r="104" ht="14.2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8"/>
      <c r="AG104" s="58"/>
      <c r="AH104" s="58"/>
      <c r="AI104" s="58"/>
      <c r="AJ104" s="58"/>
      <c r="AK104" s="58"/>
    </row>
    <row r="105" ht="14.2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8"/>
      <c r="AG105" s="58"/>
      <c r="AH105" s="58"/>
      <c r="AI105" s="58"/>
      <c r="AJ105" s="58"/>
      <c r="AK105" s="58"/>
    </row>
    <row r="106" ht="14.2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8"/>
      <c r="AG106" s="58"/>
      <c r="AH106" s="58"/>
      <c r="AI106" s="58"/>
      <c r="AJ106" s="58"/>
      <c r="AK106" s="58"/>
    </row>
    <row r="107" ht="14.2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8"/>
      <c r="AG107" s="58"/>
      <c r="AH107" s="58"/>
      <c r="AI107" s="58"/>
      <c r="AJ107" s="58"/>
      <c r="AK107" s="58"/>
    </row>
    <row r="108" ht="14.2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8"/>
      <c r="AG108" s="58"/>
      <c r="AH108" s="58"/>
      <c r="AI108" s="58"/>
      <c r="AJ108" s="58"/>
      <c r="AK108" s="58"/>
    </row>
    <row r="109" ht="14.2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8"/>
      <c r="AG109" s="58"/>
      <c r="AH109" s="58"/>
      <c r="AI109" s="58"/>
      <c r="AJ109" s="58"/>
      <c r="AK109" s="58"/>
    </row>
    <row r="110" ht="14.2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8"/>
      <c r="AG110" s="58"/>
      <c r="AH110" s="58"/>
      <c r="AI110" s="58"/>
      <c r="AJ110" s="58"/>
      <c r="AK110" s="58"/>
    </row>
    <row r="111" ht="14.2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8"/>
      <c r="AG111" s="58"/>
      <c r="AH111" s="58"/>
      <c r="AI111" s="58"/>
      <c r="AJ111" s="58"/>
      <c r="AK111" s="58"/>
    </row>
    <row r="112" ht="14.2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8"/>
      <c r="AG112" s="58"/>
      <c r="AH112" s="58"/>
      <c r="AI112" s="58"/>
      <c r="AJ112" s="58"/>
      <c r="AK112" s="58"/>
    </row>
    <row r="113" ht="14.2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8"/>
      <c r="AG113" s="58"/>
      <c r="AH113" s="58"/>
      <c r="AI113" s="58"/>
      <c r="AJ113" s="58"/>
      <c r="AK113" s="58"/>
    </row>
    <row r="114" ht="14.2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8"/>
      <c r="AG114" s="58"/>
      <c r="AH114" s="58"/>
      <c r="AI114" s="58"/>
      <c r="AJ114" s="58"/>
      <c r="AK114" s="58"/>
    </row>
    <row r="115" ht="14.2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8"/>
      <c r="AG115" s="58"/>
      <c r="AH115" s="58"/>
      <c r="AI115" s="58"/>
      <c r="AJ115" s="58"/>
      <c r="AK115" s="58"/>
    </row>
    <row r="116" ht="14.2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8"/>
      <c r="AG116" s="58"/>
      <c r="AH116" s="58"/>
      <c r="AI116" s="58"/>
      <c r="AJ116" s="58"/>
      <c r="AK116" s="58"/>
    </row>
    <row r="117" ht="14.2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8"/>
      <c r="AG117" s="58"/>
      <c r="AH117" s="58"/>
      <c r="AI117" s="58"/>
      <c r="AJ117" s="58"/>
      <c r="AK117" s="58"/>
    </row>
    <row r="118" ht="14.2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8"/>
      <c r="AG118" s="58"/>
      <c r="AH118" s="58"/>
      <c r="AI118" s="58"/>
      <c r="AJ118" s="58"/>
      <c r="AK118" s="58"/>
    </row>
    <row r="119" ht="14.2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8"/>
      <c r="AG119" s="58"/>
      <c r="AH119" s="58"/>
      <c r="AI119" s="58"/>
      <c r="AJ119" s="58"/>
      <c r="AK119" s="58"/>
    </row>
    <row r="120" ht="14.2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8"/>
      <c r="AG120" s="58"/>
      <c r="AH120" s="58"/>
      <c r="AI120" s="58"/>
      <c r="AJ120" s="58"/>
      <c r="AK120" s="58"/>
    </row>
    <row r="121" ht="14.2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8"/>
      <c r="AG121" s="58"/>
      <c r="AH121" s="58"/>
      <c r="AI121" s="58"/>
      <c r="AJ121" s="58"/>
      <c r="AK121" s="58"/>
    </row>
    <row r="122" ht="14.2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8"/>
      <c r="AG122" s="58"/>
      <c r="AH122" s="58"/>
      <c r="AI122" s="58"/>
      <c r="AJ122" s="58"/>
      <c r="AK122" s="58"/>
    </row>
    <row r="123" ht="14.2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8"/>
      <c r="AG123" s="58"/>
      <c r="AH123" s="58"/>
      <c r="AI123" s="58"/>
      <c r="AJ123" s="58"/>
      <c r="AK123" s="58"/>
    </row>
    <row r="124" ht="14.2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8"/>
      <c r="AG124" s="58"/>
      <c r="AH124" s="58"/>
      <c r="AI124" s="58"/>
      <c r="AJ124" s="58"/>
      <c r="AK124" s="58"/>
    </row>
    <row r="125" ht="14.2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8"/>
      <c r="AG125" s="58"/>
      <c r="AH125" s="58"/>
      <c r="AI125" s="58"/>
      <c r="AJ125" s="58"/>
      <c r="AK125" s="58"/>
    </row>
    <row r="126" ht="14.2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8"/>
      <c r="AG126" s="58"/>
      <c r="AH126" s="58"/>
      <c r="AI126" s="58"/>
      <c r="AJ126" s="58"/>
      <c r="AK126" s="58"/>
    </row>
    <row r="127" ht="14.2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8"/>
      <c r="AG127" s="58"/>
      <c r="AH127" s="58"/>
      <c r="AI127" s="58"/>
      <c r="AJ127" s="58"/>
      <c r="AK127" s="58"/>
    </row>
    <row r="128" ht="14.2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8"/>
      <c r="AG128" s="58"/>
      <c r="AH128" s="58"/>
      <c r="AI128" s="58"/>
      <c r="AJ128" s="58"/>
      <c r="AK128" s="58"/>
    </row>
    <row r="129" ht="14.2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8"/>
      <c r="AG129" s="58"/>
      <c r="AH129" s="58"/>
      <c r="AI129" s="58"/>
      <c r="AJ129" s="58"/>
      <c r="AK129" s="58"/>
    </row>
    <row r="130" ht="14.2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8"/>
      <c r="AG130" s="58"/>
      <c r="AH130" s="58"/>
      <c r="AI130" s="58"/>
      <c r="AJ130" s="58"/>
      <c r="AK130" s="58"/>
    </row>
    <row r="131" ht="14.2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8"/>
      <c r="AG131" s="58"/>
      <c r="AH131" s="58"/>
      <c r="AI131" s="58"/>
      <c r="AJ131" s="58"/>
      <c r="AK131" s="58"/>
    </row>
    <row r="132" ht="14.2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8"/>
      <c r="AG132" s="58"/>
      <c r="AH132" s="58"/>
      <c r="AI132" s="58"/>
      <c r="AJ132" s="58"/>
      <c r="AK132" s="58"/>
    </row>
    <row r="133" ht="14.2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8"/>
      <c r="AG133" s="58"/>
      <c r="AH133" s="58"/>
      <c r="AI133" s="58"/>
      <c r="AJ133" s="58"/>
      <c r="AK133" s="58"/>
    </row>
    <row r="134" ht="14.2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8"/>
      <c r="AG134" s="58"/>
      <c r="AH134" s="58"/>
      <c r="AI134" s="58"/>
      <c r="AJ134" s="58"/>
      <c r="AK134" s="58"/>
    </row>
    <row r="135" ht="14.2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8"/>
      <c r="AG135" s="58"/>
      <c r="AH135" s="58"/>
      <c r="AI135" s="58"/>
      <c r="AJ135" s="58"/>
      <c r="AK135" s="58"/>
    </row>
    <row r="136" ht="14.2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8"/>
      <c r="AG136" s="58"/>
      <c r="AH136" s="58"/>
      <c r="AI136" s="58"/>
      <c r="AJ136" s="58"/>
      <c r="AK136" s="58"/>
    </row>
    <row r="137" ht="14.2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8"/>
      <c r="AG137" s="58"/>
      <c r="AH137" s="58"/>
      <c r="AI137" s="58"/>
      <c r="AJ137" s="58"/>
      <c r="AK137" s="58"/>
    </row>
    <row r="138" ht="14.2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8"/>
      <c r="AG138" s="58"/>
      <c r="AH138" s="58"/>
      <c r="AI138" s="58"/>
      <c r="AJ138" s="58"/>
      <c r="AK138" s="58"/>
    </row>
    <row r="139" ht="14.2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8"/>
      <c r="AG139" s="58"/>
      <c r="AH139" s="58"/>
      <c r="AI139" s="58"/>
      <c r="AJ139" s="58"/>
      <c r="AK139" s="58"/>
    </row>
    <row r="140" ht="14.2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8"/>
      <c r="AG140" s="58"/>
      <c r="AH140" s="58"/>
      <c r="AI140" s="58"/>
      <c r="AJ140" s="58"/>
      <c r="AK140" s="58"/>
    </row>
    <row r="141" ht="14.2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8"/>
      <c r="AG141" s="58"/>
      <c r="AH141" s="58"/>
      <c r="AI141" s="58"/>
      <c r="AJ141" s="58"/>
      <c r="AK141" s="58"/>
    </row>
    <row r="142" ht="14.2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8"/>
      <c r="AG142" s="58"/>
      <c r="AH142" s="58"/>
      <c r="AI142" s="58"/>
      <c r="AJ142" s="58"/>
      <c r="AK142" s="58"/>
    </row>
    <row r="143" ht="14.2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8"/>
      <c r="AG143" s="58"/>
      <c r="AH143" s="58"/>
      <c r="AI143" s="58"/>
      <c r="AJ143" s="58"/>
      <c r="AK143" s="58"/>
    </row>
    <row r="144" ht="14.2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8"/>
      <c r="AG144" s="58"/>
      <c r="AH144" s="58"/>
      <c r="AI144" s="58"/>
      <c r="AJ144" s="58"/>
      <c r="AK144" s="58"/>
    </row>
    <row r="145" ht="14.2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8"/>
      <c r="AG145" s="58"/>
      <c r="AH145" s="58"/>
      <c r="AI145" s="58"/>
      <c r="AJ145" s="58"/>
      <c r="AK145" s="58"/>
    </row>
    <row r="146" ht="14.2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8"/>
      <c r="AG146" s="58"/>
      <c r="AH146" s="58"/>
      <c r="AI146" s="58"/>
      <c r="AJ146" s="58"/>
      <c r="AK146" s="58"/>
    </row>
    <row r="147" ht="14.2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8"/>
      <c r="AG147" s="58"/>
      <c r="AH147" s="58"/>
      <c r="AI147" s="58"/>
      <c r="AJ147" s="58"/>
      <c r="AK147" s="58"/>
    </row>
    <row r="148" ht="14.2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8"/>
      <c r="AG148" s="58"/>
      <c r="AH148" s="58"/>
      <c r="AI148" s="58"/>
      <c r="AJ148" s="58"/>
      <c r="AK148" s="58"/>
    </row>
    <row r="149" ht="14.2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8"/>
      <c r="AG149" s="58"/>
      <c r="AH149" s="58"/>
      <c r="AI149" s="58"/>
      <c r="AJ149" s="58"/>
      <c r="AK149" s="58"/>
    </row>
    <row r="150" ht="14.2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8"/>
      <c r="AG150" s="58"/>
      <c r="AH150" s="58"/>
      <c r="AI150" s="58"/>
      <c r="AJ150" s="58"/>
      <c r="AK150" s="58"/>
    </row>
    <row r="151" ht="14.2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8"/>
      <c r="AG151" s="58"/>
      <c r="AH151" s="58"/>
      <c r="AI151" s="58"/>
      <c r="AJ151" s="58"/>
      <c r="AK151" s="58"/>
    </row>
    <row r="152" ht="14.2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8"/>
      <c r="AG152" s="58"/>
      <c r="AH152" s="58"/>
      <c r="AI152" s="58"/>
      <c r="AJ152" s="58"/>
      <c r="AK152" s="58"/>
    </row>
    <row r="153" ht="14.2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8"/>
      <c r="AG153" s="58"/>
      <c r="AH153" s="58"/>
      <c r="AI153" s="58"/>
      <c r="AJ153" s="58"/>
      <c r="AK153" s="58"/>
    </row>
    <row r="154" ht="14.2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8"/>
      <c r="AG154" s="58"/>
      <c r="AH154" s="58"/>
      <c r="AI154" s="58"/>
      <c r="AJ154" s="58"/>
      <c r="AK154" s="58"/>
    </row>
    <row r="155" ht="14.2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8"/>
      <c r="AG155" s="58"/>
      <c r="AH155" s="58"/>
      <c r="AI155" s="58"/>
      <c r="AJ155" s="58"/>
      <c r="AK155" s="58"/>
    </row>
    <row r="156" ht="14.2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8"/>
      <c r="AG156" s="58"/>
      <c r="AH156" s="58"/>
      <c r="AI156" s="58"/>
      <c r="AJ156" s="58"/>
      <c r="AK156" s="58"/>
    </row>
    <row r="157" ht="14.2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8"/>
      <c r="AG157" s="58"/>
      <c r="AH157" s="58"/>
      <c r="AI157" s="58"/>
      <c r="AJ157" s="58"/>
      <c r="AK157" s="58"/>
    </row>
    <row r="158" ht="14.2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8"/>
      <c r="AG158" s="58"/>
      <c r="AH158" s="58"/>
      <c r="AI158" s="58"/>
      <c r="AJ158" s="58"/>
      <c r="AK158" s="58"/>
    </row>
    <row r="159" ht="14.2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8"/>
      <c r="AG159" s="58"/>
      <c r="AH159" s="58"/>
      <c r="AI159" s="58"/>
      <c r="AJ159" s="58"/>
      <c r="AK159" s="58"/>
    </row>
    <row r="160" ht="14.2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8"/>
      <c r="AG160" s="58"/>
      <c r="AH160" s="58"/>
      <c r="AI160" s="58"/>
      <c r="AJ160" s="58"/>
      <c r="AK160" s="58"/>
    </row>
    <row r="161" ht="14.2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8"/>
      <c r="AG161" s="58"/>
      <c r="AH161" s="58"/>
      <c r="AI161" s="58"/>
      <c r="AJ161" s="58"/>
      <c r="AK161" s="58"/>
    </row>
    <row r="162" ht="14.2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8"/>
      <c r="AG162" s="58"/>
      <c r="AH162" s="58"/>
      <c r="AI162" s="58"/>
      <c r="AJ162" s="58"/>
      <c r="AK162" s="58"/>
    </row>
    <row r="163" ht="14.2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8"/>
      <c r="AG163" s="58"/>
      <c r="AH163" s="58"/>
      <c r="AI163" s="58"/>
      <c r="AJ163" s="58"/>
      <c r="AK163" s="58"/>
    </row>
    <row r="164" ht="14.2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8"/>
      <c r="AG164" s="58"/>
      <c r="AH164" s="58"/>
      <c r="AI164" s="58"/>
      <c r="AJ164" s="58"/>
      <c r="AK164" s="58"/>
    </row>
    <row r="165" ht="14.2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8"/>
      <c r="AG165" s="58"/>
      <c r="AH165" s="58"/>
      <c r="AI165" s="58"/>
      <c r="AJ165" s="58"/>
      <c r="AK165" s="58"/>
    </row>
    <row r="166" ht="14.2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8"/>
      <c r="AG166" s="58"/>
      <c r="AH166" s="58"/>
      <c r="AI166" s="58"/>
      <c r="AJ166" s="58"/>
      <c r="AK166" s="58"/>
    </row>
    <row r="167" ht="14.2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8"/>
      <c r="AG167" s="58"/>
      <c r="AH167" s="58"/>
      <c r="AI167" s="58"/>
      <c r="AJ167" s="58"/>
      <c r="AK167" s="58"/>
    </row>
    <row r="168" ht="14.2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8"/>
      <c r="AG168" s="58"/>
      <c r="AH168" s="58"/>
      <c r="AI168" s="58"/>
      <c r="AJ168" s="58"/>
      <c r="AK168" s="58"/>
    </row>
    <row r="169" ht="14.2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8"/>
      <c r="AG169" s="58"/>
      <c r="AH169" s="58"/>
      <c r="AI169" s="58"/>
      <c r="AJ169" s="58"/>
      <c r="AK169" s="58"/>
    </row>
    <row r="170" ht="14.2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8"/>
      <c r="AG170" s="58"/>
      <c r="AH170" s="58"/>
      <c r="AI170" s="58"/>
      <c r="AJ170" s="58"/>
      <c r="AK170" s="58"/>
    </row>
    <row r="171" ht="14.2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8"/>
      <c r="AG171" s="58"/>
      <c r="AH171" s="58"/>
      <c r="AI171" s="58"/>
      <c r="AJ171" s="58"/>
      <c r="AK171" s="58"/>
    </row>
    <row r="172" ht="14.2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8"/>
      <c r="AG172" s="58"/>
      <c r="AH172" s="58"/>
      <c r="AI172" s="58"/>
      <c r="AJ172" s="58"/>
      <c r="AK172" s="58"/>
    </row>
    <row r="173" ht="14.2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8"/>
      <c r="AG173" s="58"/>
      <c r="AH173" s="58"/>
      <c r="AI173" s="58"/>
      <c r="AJ173" s="58"/>
      <c r="AK173" s="58"/>
    </row>
    <row r="174" ht="14.2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8"/>
      <c r="AG174" s="58"/>
      <c r="AH174" s="58"/>
      <c r="AI174" s="58"/>
      <c r="AJ174" s="58"/>
      <c r="AK174" s="58"/>
    </row>
    <row r="175" ht="14.2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8"/>
      <c r="AG175" s="58"/>
      <c r="AH175" s="58"/>
      <c r="AI175" s="58"/>
      <c r="AJ175" s="58"/>
      <c r="AK175" s="58"/>
    </row>
    <row r="176" ht="14.2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8"/>
      <c r="AG176" s="58"/>
      <c r="AH176" s="58"/>
      <c r="AI176" s="58"/>
      <c r="AJ176" s="58"/>
      <c r="AK176" s="58"/>
    </row>
    <row r="177" ht="14.2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8"/>
      <c r="AG177" s="58"/>
      <c r="AH177" s="58"/>
      <c r="AI177" s="58"/>
      <c r="AJ177" s="58"/>
      <c r="AK177" s="58"/>
    </row>
    <row r="178" ht="14.2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8"/>
      <c r="AG178" s="58"/>
      <c r="AH178" s="58"/>
      <c r="AI178" s="58"/>
      <c r="AJ178" s="58"/>
      <c r="AK178" s="58"/>
    </row>
    <row r="179" ht="14.2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8"/>
      <c r="AG179" s="58"/>
      <c r="AH179" s="58"/>
      <c r="AI179" s="58"/>
      <c r="AJ179" s="58"/>
      <c r="AK179" s="58"/>
    </row>
    <row r="180" ht="14.2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8"/>
      <c r="AG180" s="58"/>
      <c r="AH180" s="58"/>
      <c r="AI180" s="58"/>
      <c r="AJ180" s="58"/>
      <c r="AK180" s="58"/>
    </row>
    <row r="181" ht="14.2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8"/>
      <c r="AG181" s="58"/>
      <c r="AH181" s="58"/>
      <c r="AI181" s="58"/>
      <c r="AJ181" s="58"/>
      <c r="AK181" s="58"/>
    </row>
    <row r="182" ht="14.2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8"/>
      <c r="AG182" s="58"/>
      <c r="AH182" s="58"/>
      <c r="AI182" s="58"/>
      <c r="AJ182" s="58"/>
      <c r="AK182" s="58"/>
    </row>
    <row r="183" ht="14.2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8"/>
      <c r="AG183" s="58"/>
      <c r="AH183" s="58"/>
      <c r="AI183" s="58"/>
      <c r="AJ183" s="58"/>
      <c r="AK183" s="58"/>
    </row>
    <row r="184" ht="14.2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8"/>
      <c r="AG184" s="58"/>
      <c r="AH184" s="58"/>
      <c r="AI184" s="58"/>
      <c r="AJ184" s="58"/>
      <c r="AK184" s="58"/>
    </row>
    <row r="185" ht="14.2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8"/>
      <c r="AG185" s="58"/>
      <c r="AH185" s="58"/>
      <c r="AI185" s="58"/>
      <c r="AJ185" s="58"/>
      <c r="AK185" s="58"/>
    </row>
    <row r="186" ht="14.2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8"/>
      <c r="AG186" s="58"/>
      <c r="AH186" s="58"/>
      <c r="AI186" s="58"/>
      <c r="AJ186" s="58"/>
      <c r="AK186" s="58"/>
    </row>
    <row r="187" ht="14.2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8"/>
      <c r="AG187" s="58"/>
      <c r="AH187" s="58"/>
      <c r="AI187" s="58"/>
      <c r="AJ187" s="58"/>
      <c r="AK187" s="58"/>
    </row>
    <row r="188" ht="14.2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8"/>
      <c r="AG188" s="58"/>
      <c r="AH188" s="58"/>
      <c r="AI188" s="58"/>
      <c r="AJ188" s="58"/>
      <c r="AK188" s="58"/>
    </row>
    <row r="189" ht="14.2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8"/>
      <c r="AG189" s="58"/>
      <c r="AH189" s="58"/>
      <c r="AI189" s="58"/>
      <c r="AJ189" s="58"/>
      <c r="AK189" s="58"/>
    </row>
    <row r="190" ht="14.2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8"/>
      <c r="AG190" s="58"/>
      <c r="AH190" s="58"/>
      <c r="AI190" s="58"/>
      <c r="AJ190" s="58"/>
      <c r="AK190" s="58"/>
    </row>
    <row r="191" ht="14.2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8"/>
      <c r="AG191" s="58"/>
      <c r="AH191" s="58"/>
      <c r="AI191" s="58"/>
      <c r="AJ191" s="58"/>
      <c r="AK191" s="58"/>
    </row>
    <row r="192" ht="14.2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8"/>
      <c r="AG192" s="58"/>
      <c r="AH192" s="58"/>
      <c r="AI192" s="58"/>
      <c r="AJ192" s="58"/>
      <c r="AK192" s="58"/>
    </row>
    <row r="193" ht="14.2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8"/>
      <c r="AG193" s="58"/>
      <c r="AH193" s="58"/>
      <c r="AI193" s="58"/>
      <c r="AJ193" s="58"/>
      <c r="AK193" s="58"/>
    </row>
    <row r="194" ht="14.2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8"/>
      <c r="AG194" s="58"/>
      <c r="AH194" s="58"/>
      <c r="AI194" s="58"/>
      <c r="AJ194" s="58"/>
      <c r="AK194" s="58"/>
    </row>
    <row r="195" ht="14.2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8"/>
      <c r="AG195" s="58"/>
      <c r="AH195" s="58"/>
      <c r="AI195" s="58"/>
      <c r="AJ195" s="58"/>
      <c r="AK195" s="58"/>
    </row>
    <row r="196" ht="14.2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8"/>
      <c r="AG196" s="58"/>
      <c r="AH196" s="58"/>
      <c r="AI196" s="58"/>
      <c r="AJ196" s="58"/>
      <c r="AK196" s="58"/>
    </row>
    <row r="197" ht="14.2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8"/>
      <c r="AG197" s="58"/>
      <c r="AH197" s="58"/>
      <c r="AI197" s="58"/>
      <c r="AJ197" s="58"/>
      <c r="AK197" s="58"/>
    </row>
    <row r="198" ht="14.2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8"/>
      <c r="AG198" s="58"/>
      <c r="AH198" s="58"/>
      <c r="AI198" s="58"/>
      <c r="AJ198" s="58"/>
      <c r="AK198" s="58"/>
    </row>
    <row r="199" ht="14.2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8"/>
      <c r="AG199" s="58"/>
      <c r="AH199" s="58"/>
      <c r="AI199" s="58"/>
      <c r="AJ199" s="58"/>
      <c r="AK199" s="58"/>
    </row>
    <row r="200" ht="14.2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8"/>
      <c r="AG200" s="58"/>
      <c r="AH200" s="58"/>
      <c r="AI200" s="58"/>
      <c r="AJ200" s="58"/>
      <c r="AK200" s="58"/>
    </row>
    <row r="201" ht="14.2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8"/>
      <c r="AG201" s="58"/>
      <c r="AH201" s="58"/>
      <c r="AI201" s="58"/>
      <c r="AJ201" s="58"/>
      <c r="AK201" s="58"/>
    </row>
    <row r="202" ht="14.2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8"/>
      <c r="AG202" s="58"/>
      <c r="AH202" s="58"/>
      <c r="AI202" s="58"/>
      <c r="AJ202" s="58"/>
      <c r="AK202" s="58"/>
    </row>
    <row r="203" ht="14.2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8"/>
      <c r="AG203" s="58"/>
      <c r="AH203" s="58"/>
      <c r="AI203" s="58"/>
      <c r="AJ203" s="58"/>
      <c r="AK203" s="58"/>
    </row>
    <row r="204" ht="14.2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8"/>
      <c r="AG204" s="58"/>
      <c r="AH204" s="58"/>
      <c r="AI204" s="58"/>
      <c r="AJ204" s="58"/>
      <c r="AK204" s="58"/>
    </row>
    <row r="205" ht="14.2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8"/>
      <c r="AG205" s="58"/>
      <c r="AH205" s="58"/>
      <c r="AI205" s="58"/>
      <c r="AJ205" s="58"/>
      <c r="AK205" s="58"/>
    </row>
    <row r="206" ht="14.2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8"/>
      <c r="AG206" s="58"/>
      <c r="AH206" s="58"/>
      <c r="AI206" s="58"/>
      <c r="AJ206" s="58"/>
      <c r="AK206" s="58"/>
    </row>
    <row r="207" ht="14.2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8"/>
      <c r="AG207" s="58"/>
      <c r="AH207" s="58"/>
      <c r="AI207" s="58"/>
      <c r="AJ207" s="58"/>
      <c r="AK207" s="58"/>
    </row>
    <row r="208" ht="14.2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8"/>
      <c r="AG208" s="58"/>
      <c r="AH208" s="58"/>
      <c r="AI208" s="58"/>
      <c r="AJ208" s="58"/>
      <c r="AK208" s="58"/>
    </row>
    <row r="209" ht="14.2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8"/>
      <c r="AG209" s="58"/>
      <c r="AH209" s="58"/>
      <c r="AI209" s="58"/>
      <c r="AJ209" s="58"/>
      <c r="AK209" s="58"/>
    </row>
    <row r="210" ht="14.2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8"/>
      <c r="AG210" s="58"/>
      <c r="AH210" s="58"/>
      <c r="AI210" s="58"/>
      <c r="AJ210" s="58"/>
      <c r="AK210" s="58"/>
    </row>
    <row r="211" ht="14.2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8"/>
      <c r="AG211" s="58"/>
      <c r="AH211" s="58"/>
      <c r="AI211" s="58"/>
      <c r="AJ211" s="58"/>
      <c r="AK211" s="58"/>
    </row>
    <row r="212" ht="14.2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8"/>
      <c r="AG212" s="58"/>
      <c r="AH212" s="58"/>
      <c r="AI212" s="58"/>
      <c r="AJ212" s="58"/>
      <c r="AK212" s="58"/>
    </row>
    <row r="213" ht="14.2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8"/>
      <c r="AG213" s="58"/>
      <c r="AH213" s="58"/>
      <c r="AI213" s="58"/>
      <c r="AJ213" s="58"/>
      <c r="AK213" s="58"/>
    </row>
    <row r="214" ht="14.2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8"/>
      <c r="AG214" s="58"/>
      <c r="AH214" s="58"/>
      <c r="AI214" s="58"/>
      <c r="AJ214" s="58"/>
      <c r="AK214" s="58"/>
    </row>
    <row r="215" ht="14.2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8"/>
      <c r="AG215" s="58"/>
      <c r="AH215" s="58"/>
      <c r="AI215" s="58"/>
      <c r="AJ215" s="58"/>
      <c r="AK215" s="58"/>
    </row>
    <row r="216" ht="14.2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8"/>
      <c r="AG216" s="58"/>
      <c r="AH216" s="58"/>
      <c r="AI216" s="58"/>
      <c r="AJ216" s="58"/>
      <c r="AK216" s="58"/>
    </row>
    <row r="217" ht="14.2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8"/>
      <c r="AG217" s="58"/>
      <c r="AH217" s="58"/>
      <c r="AI217" s="58"/>
      <c r="AJ217" s="58"/>
      <c r="AK217" s="58"/>
    </row>
    <row r="218" ht="14.2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8"/>
      <c r="AG218" s="58"/>
      <c r="AH218" s="58"/>
      <c r="AI218" s="58"/>
      <c r="AJ218" s="58"/>
      <c r="AK218" s="58"/>
    </row>
    <row r="219" ht="14.2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8"/>
      <c r="AG219" s="58"/>
      <c r="AH219" s="58"/>
      <c r="AI219" s="58"/>
      <c r="AJ219" s="58"/>
      <c r="AK219" s="58"/>
    </row>
    <row r="220" ht="14.2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8"/>
      <c r="AG220" s="58"/>
      <c r="AH220" s="58"/>
      <c r="AI220" s="58"/>
      <c r="AJ220" s="58"/>
      <c r="AK220" s="58"/>
    </row>
    <row r="221" ht="14.2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8"/>
      <c r="AG221" s="58"/>
      <c r="AH221" s="58"/>
      <c r="AI221" s="58"/>
      <c r="AJ221" s="58"/>
      <c r="AK221" s="58"/>
    </row>
    <row r="222" ht="14.2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8"/>
      <c r="AG222" s="58"/>
      <c r="AH222" s="58"/>
      <c r="AI222" s="58"/>
      <c r="AJ222" s="58"/>
      <c r="AK222" s="58"/>
    </row>
    <row r="223" ht="14.2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8"/>
      <c r="AG223" s="58"/>
      <c r="AH223" s="58"/>
      <c r="AI223" s="58"/>
      <c r="AJ223" s="58"/>
      <c r="AK223" s="58"/>
    </row>
    <row r="224" ht="14.2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8"/>
      <c r="AG224" s="58"/>
      <c r="AH224" s="58"/>
      <c r="AI224" s="58"/>
      <c r="AJ224" s="58"/>
      <c r="AK224" s="58"/>
    </row>
    <row r="225" ht="14.2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8"/>
      <c r="AG225" s="58"/>
      <c r="AH225" s="58"/>
      <c r="AI225" s="58"/>
      <c r="AJ225" s="58"/>
      <c r="AK225" s="58"/>
    </row>
    <row r="226" ht="14.2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8"/>
      <c r="AG226" s="58"/>
      <c r="AH226" s="58"/>
      <c r="AI226" s="58"/>
      <c r="AJ226" s="58"/>
      <c r="AK226" s="58"/>
    </row>
    <row r="227" ht="14.2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8"/>
      <c r="AG227" s="58"/>
      <c r="AH227" s="58"/>
      <c r="AI227" s="58"/>
      <c r="AJ227" s="58"/>
      <c r="AK227" s="58"/>
    </row>
    <row r="228" ht="14.2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8"/>
      <c r="AG228" s="58"/>
      <c r="AH228" s="58"/>
      <c r="AI228" s="58"/>
      <c r="AJ228" s="58"/>
      <c r="AK228" s="58"/>
    </row>
    <row r="229" ht="14.2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8"/>
      <c r="AG229" s="58"/>
      <c r="AH229" s="58"/>
      <c r="AI229" s="58"/>
      <c r="AJ229" s="58"/>
      <c r="AK229" s="58"/>
    </row>
    <row r="230" ht="14.2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8"/>
      <c r="AG230" s="58"/>
      <c r="AH230" s="58"/>
      <c r="AI230" s="58"/>
      <c r="AJ230" s="58"/>
      <c r="AK230" s="58"/>
    </row>
    <row r="231" ht="14.2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8"/>
      <c r="AG231" s="58"/>
      <c r="AH231" s="58"/>
      <c r="AI231" s="58"/>
      <c r="AJ231" s="58"/>
      <c r="AK231" s="58"/>
    </row>
    <row r="232" ht="14.2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8"/>
      <c r="AG232" s="58"/>
      <c r="AH232" s="58"/>
      <c r="AI232" s="58"/>
      <c r="AJ232" s="58"/>
      <c r="AK232" s="58"/>
    </row>
    <row r="233" ht="14.2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8"/>
      <c r="AG233" s="58"/>
      <c r="AH233" s="58"/>
      <c r="AI233" s="58"/>
      <c r="AJ233" s="58"/>
      <c r="AK233" s="58"/>
    </row>
    <row r="234" ht="14.2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8"/>
      <c r="AG234" s="58"/>
      <c r="AH234" s="58"/>
      <c r="AI234" s="58"/>
      <c r="AJ234" s="58"/>
      <c r="AK234" s="58"/>
    </row>
    <row r="235" ht="14.2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8"/>
      <c r="AG235" s="58"/>
      <c r="AH235" s="58"/>
      <c r="AI235" s="58"/>
      <c r="AJ235" s="58"/>
      <c r="AK235" s="58"/>
    </row>
    <row r="236" ht="14.2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8"/>
      <c r="AG236" s="58"/>
      <c r="AH236" s="58"/>
      <c r="AI236" s="58"/>
      <c r="AJ236" s="58"/>
      <c r="AK236" s="58"/>
    </row>
    <row r="237" ht="14.2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8"/>
      <c r="AG237" s="58"/>
      <c r="AH237" s="58"/>
      <c r="AI237" s="58"/>
      <c r="AJ237" s="58"/>
      <c r="AK237" s="58"/>
    </row>
    <row r="238" ht="14.2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8"/>
      <c r="AG238" s="58"/>
      <c r="AH238" s="58"/>
      <c r="AI238" s="58"/>
      <c r="AJ238" s="58"/>
      <c r="AK238" s="58"/>
    </row>
    <row r="239" ht="14.2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8"/>
      <c r="AG239" s="58"/>
      <c r="AH239" s="58"/>
      <c r="AI239" s="58"/>
      <c r="AJ239" s="58"/>
      <c r="AK239" s="58"/>
    </row>
    <row r="240" ht="14.2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8"/>
      <c r="AG240" s="58"/>
      <c r="AH240" s="58"/>
      <c r="AI240" s="58"/>
      <c r="AJ240" s="58"/>
      <c r="AK240" s="58"/>
    </row>
    <row r="241" ht="14.2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8"/>
      <c r="AG241" s="58"/>
      <c r="AH241" s="58"/>
      <c r="AI241" s="58"/>
      <c r="AJ241" s="58"/>
      <c r="AK241" s="58"/>
    </row>
    <row r="242" ht="14.2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8"/>
      <c r="AG242" s="58"/>
      <c r="AH242" s="58"/>
      <c r="AI242" s="58"/>
      <c r="AJ242" s="58"/>
      <c r="AK242" s="58"/>
    </row>
    <row r="243" ht="14.2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8"/>
      <c r="AG243" s="58"/>
      <c r="AH243" s="58"/>
      <c r="AI243" s="58"/>
      <c r="AJ243" s="58"/>
      <c r="AK243" s="58"/>
    </row>
    <row r="244" ht="14.2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8"/>
      <c r="AG244" s="58"/>
      <c r="AH244" s="58"/>
      <c r="AI244" s="58"/>
      <c r="AJ244" s="58"/>
      <c r="AK244" s="58"/>
    </row>
    <row r="245" ht="14.2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8"/>
      <c r="AG245" s="58"/>
      <c r="AH245" s="58"/>
      <c r="AI245" s="58"/>
      <c r="AJ245" s="58"/>
      <c r="AK245" s="58"/>
    </row>
    <row r="246" ht="14.2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8"/>
      <c r="AG246" s="58"/>
      <c r="AH246" s="58"/>
      <c r="AI246" s="58"/>
      <c r="AJ246" s="58"/>
      <c r="AK246" s="58"/>
    </row>
    <row r="247" ht="14.2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8"/>
      <c r="AG247" s="58"/>
      <c r="AH247" s="58"/>
      <c r="AI247" s="58"/>
      <c r="AJ247" s="58"/>
      <c r="AK247" s="58"/>
    </row>
    <row r="248" ht="14.2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8"/>
      <c r="AG248" s="58"/>
      <c r="AH248" s="58"/>
      <c r="AI248" s="58"/>
      <c r="AJ248" s="58"/>
      <c r="AK248" s="58"/>
    </row>
    <row r="249" ht="14.2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8"/>
      <c r="AG249" s="58"/>
      <c r="AH249" s="58"/>
      <c r="AI249" s="58"/>
      <c r="AJ249" s="58"/>
      <c r="AK249" s="58"/>
    </row>
    <row r="250" ht="14.2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8"/>
      <c r="AG250" s="58"/>
      <c r="AH250" s="58"/>
      <c r="AI250" s="58"/>
      <c r="AJ250" s="58"/>
      <c r="AK250" s="58"/>
    </row>
    <row r="251" ht="14.2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8"/>
      <c r="AG251" s="58"/>
      <c r="AH251" s="58"/>
      <c r="AI251" s="58"/>
      <c r="AJ251" s="58"/>
      <c r="AK251" s="58"/>
    </row>
    <row r="252" ht="14.2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8"/>
      <c r="AG252" s="58"/>
      <c r="AH252" s="58"/>
      <c r="AI252" s="58"/>
      <c r="AJ252" s="58"/>
      <c r="AK252" s="58"/>
    </row>
    <row r="253" ht="14.2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8"/>
      <c r="AG253" s="58"/>
      <c r="AH253" s="58"/>
      <c r="AI253" s="58"/>
      <c r="AJ253" s="58"/>
      <c r="AK253" s="58"/>
    </row>
    <row r="254" ht="14.2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8"/>
      <c r="AG254" s="58"/>
      <c r="AH254" s="58"/>
      <c r="AI254" s="58"/>
      <c r="AJ254" s="58"/>
      <c r="AK254" s="58"/>
    </row>
    <row r="255" ht="14.2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8"/>
      <c r="AG255" s="58"/>
      <c r="AH255" s="58"/>
      <c r="AI255" s="58"/>
      <c r="AJ255" s="58"/>
      <c r="AK255" s="58"/>
    </row>
    <row r="256" ht="14.2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8"/>
      <c r="AG256" s="58"/>
      <c r="AH256" s="58"/>
      <c r="AI256" s="58"/>
      <c r="AJ256" s="58"/>
      <c r="AK256" s="58"/>
    </row>
    <row r="257" ht="14.2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8"/>
      <c r="AG257" s="58"/>
      <c r="AH257" s="58"/>
      <c r="AI257" s="58"/>
      <c r="AJ257" s="58"/>
      <c r="AK257" s="58"/>
    </row>
    <row r="258" ht="14.2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8"/>
      <c r="AG258" s="58"/>
      <c r="AH258" s="58"/>
      <c r="AI258" s="58"/>
      <c r="AJ258" s="58"/>
      <c r="AK258" s="58"/>
    </row>
    <row r="259" ht="14.2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8"/>
      <c r="AG259" s="58"/>
      <c r="AH259" s="58"/>
      <c r="AI259" s="58"/>
      <c r="AJ259" s="58"/>
      <c r="AK259" s="58"/>
    </row>
    <row r="260" ht="14.2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8"/>
      <c r="AG260" s="58"/>
      <c r="AH260" s="58"/>
      <c r="AI260" s="58"/>
      <c r="AJ260" s="58"/>
      <c r="AK260" s="58"/>
    </row>
    <row r="261" ht="14.2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8"/>
      <c r="AG261" s="58"/>
      <c r="AH261" s="58"/>
      <c r="AI261" s="58"/>
      <c r="AJ261" s="58"/>
      <c r="AK261" s="58"/>
    </row>
    <row r="262" ht="14.2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8"/>
      <c r="AG262" s="58"/>
      <c r="AH262" s="58"/>
      <c r="AI262" s="58"/>
      <c r="AJ262" s="58"/>
      <c r="AK262" s="58"/>
    </row>
    <row r="263" ht="14.2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8"/>
      <c r="AG263" s="58"/>
      <c r="AH263" s="58"/>
      <c r="AI263" s="58"/>
      <c r="AJ263" s="58"/>
      <c r="AK263" s="58"/>
    </row>
    <row r="264" ht="14.2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8"/>
      <c r="AG264" s="58"/>
      <c r="AH264" s="58"/>
      <c r="AI264" s="58"/>
      <c r="AJ264" s="58"/>
      <c r="AK264" s="58"/>
    </row>
    <row r="265" ht="14.2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8"/>
      <c r="AG265" s="58"/>
      <c r="AH265" s="58"/>
      <c r="AI265" s="58"/>
      <c r="AJ265" s="58"/>
      <c r="AK265" s="58"/>
    </row>
    <row r="266" ht="14.2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8"/>
      <c r="AG266" s="58"/>
      <c r="AH266" s="58"/>
      <c r="AI266" s="58"/>
      <c r="AJ266" s="58"/>
      <c r="AK266" s="58"/>
    </row>
    <row r="267" ht="14.2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8"/>
      <c r="AG267" s="58"/>
      <c r="AH267" s="58"/>
      <c r="AI267" s="58"/>
      <c r="AJ267" s="58"/>
      <c r="AK267" s="58"/>
    </row>
    <row r="268" ht="14.2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8"/>
      <c r="AG268" s="58"/>
      <c r="AH268" s="58"/>
      <c r="AI268" s="58"/>
      <c r="AJ268" s="58"/>
      <c r="AK268" s="58"/>
    </row>
    <row r="269" ht="14.2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8"/>
      <c r="AG269" s="58"/>
      <c r="AH269" s="58"/>
      <c r="AI269" s="58"/>
      <c r="AJ269" s="58"/>
      <c r="AK269" s="58"/>
    </row>
    <row r="270" ht="14.2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8"/>
      <c r="AG270" s="58"/>
      <c r="AH270" s="58"/>
      <c r="AI270" s="58"/>
      <c r="AJ270" s="58"/>
      <c r="AK270" s="58"/>
    </row>
    <row r="271" ht="14.2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8"/>
      <c r="AG271" s="58"/>
      <c r="AH271" s="58"/>
      <c r="AI271" s="58"/>
      <c r="AJ271" s="58"/>
      <c r="AK271" s="58"/>
    </row>
    <row r="272" ht="14.2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8"/>
      <c r="AG272" s="58"/>
      <c r="AH272" s="58"/>
      <c r="AI272" s="58"/>
      <c r="AJ272" s="58"/>
      <c r="AK272" s="58"/>
    </row>
    <row r="273" ht="14.2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8"/>
      <c r="AG273" s="58"/>
      <c r="AH273" s="58"/>
      <c r="AI273" s="58"/>
      <c r="AJ273" s="58"/>
      <c r="AK273" s="58"/>
    </row>
    <row r="274" ht="14.2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8"/>
      <c r="AG274" s="58"/>
      <c r="AH274" s="58"/>
      <c r="AI274" s="58"/>
      <c r="AJ274" s="58"/>
      <c r="AK274" s="58"/>
    </row>
    <row r="275" ht="14.2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8"/>
      <c r="AG275" s="58"/>
      <c r="AH275" s="58"/>
      <c r="AI275" s="58"/>
      <c r="AJ275" s="58"/>
      <c r="AK275" s="58"/>
    </row>
    <row r="276" ht="14.2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8"/>
      <c r="AG276" s="58"/>
      <c r="AH276" s="58"/>
      <c r="AI276" s="58"/>
      <c r="AJ276" s="58"/>
      <c r="AK276" s="58"/>
    </row>
    <row r="277" ht="14.2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8"/>
      <c r="AG277" s="58"/>
      <c r="AH277" s="58"/>
      <c r="AI277" s="58"/>
      <c r="AJ277" s="58"/>
      <c r="AK277" s="58"/>
    </row>
    <row r="278" ht="14.2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8"/>
      <c r="AG278" s="58"/>
      <c r="AH278" s="58"/>
      <c r="AI278" s="58"/>
      <c r="AJ278" s="58"/>
      <c r="AK278" s="58"/>
    </row>
    <row r="279" ht="14.2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8"/>
      <c r="AG279" s="58"/>
      <c r="AH279" s="58"/>
      <c r="AI279" s="58"/>
      <c r="AJ279" s="58"/>
      <c r="AK279" s="58"/>
    </row>
    <row r="280" ht="14.2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8"/>
      <c r="AG280" s="58"/>
      <c r="AH280" s="58"/>
      <c r="AI280" s="58"/>
      <c r="AJ280" s="58"/>
      <c r="AK280" s="58"/>
    </row>
    <row r="281" ht="14.2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8"/>
      <c r="AG281" s="58"/>
      <c r="AH281" s="58"/>
      <c r="AI281" s="58"/>
      <c r="AJ281" s="58"/>
      <c r="AK281" s="58"/>
    </row>
    <row r="282" ht="14.2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8"/>
      <c r="AG282" s="58"/>
      <c r="AH282" s="58"/>
      <c r="AI282" s="58"/>
      <c r="AJ282" s="58"/>
      <c r="AK282" s="58"/>
    </row>
    <row r="283" ht="14.2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8"/>
      <c r="AG283" s="58"/>
      <c r="AH283" s="58"/>
      <c r="AI283" s="58"/>
      <c r="AJ283" s="58"/>
      <c r="AK283" s="58"/>
    </row>
    <row r="284" ht="14.2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8"/>
      <c r="AG284" s="58"/>
      <c r="AH284" s="58"/>
      <c r="AI284" s="58"/>
      <c r="AJ284" s="58"/>
      <c r="AK284" s="58"/>
    </row>
    <row r="285" ht="14.2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8"/>
      <c r="AG285" s="58"/>
      <c r="AH285" s="58"/>
      <c r="AI285" s="58"/>
      <c r="AJ285" s="58"/>
      <c r="AK285" s="58"/>
    </row>
    <row r="286" ht="14.2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8"/>
      <c r="AG286" s="58"/>
      <c r="AH286" s="58"/>
      <c r="AI286" s="58"/>
      <c r="AJ286" s="58"/>
      <c r="AK286" s="58"/>
    </row>
    <row r="287" ht="14.2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8"/>
      <c r="AG287" s="58"/>
      <c r="AH287" s="58"/>
      <c r="AI287" s="58"/>
      <c r="AJ287" s="58"/>
      <c r="AK287" s="58"/>
    </row>
    <row r="288" ht="14.2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8"/>
      <c r="AG288" s="58"/>
      <c r="AH288" s="58"/>
      <c r="AI288" s="58"/>
      <c r="AJ288" s="58"/>
      <c r="AK288" s="58"/>
    </row>
    <row r="289" ht="14.2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8"/>
      <c r="AG289" s="58"/>
      <c r="AH289" s="58"/>
      <c r="AI289" s="58"/>
      <c r="AJ289" s="58"/>
      <c r="AK289" s="58"/>
    </row>
    <row r="290" ht="14.2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8"/>
      <c r="AG290" s="58"/>
      <c r="AH290" s="58"/>
      <c r="AI290" s="58"/>
      <c r="AJ290" s="58"/>
      <c r="AK290" s="58"/>
    </row>
    <row r="291" ht="14.2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8"/>
      <c r="AG291" s="58"/>
      <c r="AH291" s="58"/>
      <c r="AI291" s="58"/>
      <c r="AJ291" s="58"/>
      <c r="AK291" s="58"/>
    </row>
    <row r="292" ht="14.2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8"/>
      <c r="AG292" s="58"/>
      <c r="AH292" s="58"/>
      <c r="AI292" s="58"/>
      <c r="AJ292" s="58"/>
      <c r="AK292" s="58"/>
    </row>
    <row r="293" ht="14.2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8"/>
      <c r="AG293" s="58"/>
      <c r="AH293" s="58"/>
      <c r="AI293" s="58"/>
      <c r="AJ293" s="58"/>
      <c r="AK293" s="58"/>
    </row>
    <row r="294" ht="14.2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8"/>
      <c r="AG294" s="58"/>
      <c r="AH294" s="58"/>
      <c r="AI294" s="58"/>
      <c r="AJ294" s="58"/>
      <c r="AK294" s="58"/>
    </row>
    <row r="295" ht="14.2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8"/>
      <c r="AG295" s="58"/>
      <c r="AH295" s="58"/>
      <c r="AI295" s="58"/>
      <c r="AJ295" s="58"/>
      <c r="AK295" s="58"/>
    </row>
    <row r="296" ht="14.2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8"/>
      <c r="AG296" s="58"/>
      <c r="AH296" s="58"/>
      <c r="AI296" s="58"/>
      <c r="AJ296" s="58"/>
      <c r="AK296" s="58"/>
    </row>
    <row r="297" ht="14.2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8"/>
      <c r="AG297" s="58"/>
      <c r="AH297" s="58"/>
      <c r="AI297" s="58"/>
      <c r="AJ297" s="58"/>
      <c r="AK297" s="58"/>
    </row>
    <row r="298" ht="14.2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8"/>
      <c r="AG298" s="58"/>
      <c r="AH298" s="58"/>
      <c r="AI298" s="58"/>
      <c r="AJ298" s="58"/>
      <c r="AK298" s="58"/>
    </row>
    <row r="299" ht="14.2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8"/>
      <c r="AG299" s="58"/>
      <c r="AH299" s="58"/>
      <c r="AI299" s="58"/>
      <c r="AJ299" s="58"/>
      <c r="AK299" s="58"/>
    </row>
    <row r="300" ht="14.2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8"/>
      <c r="AG300" s="58"/>
      <c r="AH300" s="58"/>
      <c r="AI300" s="58"/>
      <c r="AJ300" s="58"/>
      <c r="AK300" s="58"/>
    </row>
    <row r="301" ht="14.2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8"/>
      <c r="AG301" s="58"/>
      <c r="AH301" s="58"/>
      <c r="AI301" s="58"/>
      <c r="AJ301" s="58"/>
      <c r="AK301" s="58"/>
    </row>
    <row r="302" ht="14.2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8"/>
      <c r="AG302" s="58"/>
      <c r="AH302" s="58"/>
      <c r="AI302" s="58"/>
      <c r="AJ302" s="58"/>
      <c r="AK302" s="58"/>
    </row>
    <row r="303" ht="14.2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8"/>
      <c r="AG303" s="58"/>
      <c r="AH303" s="58"/>
      <c r="AI303" s="58"/>
      <c r="AJ303" s="58"/>
      <c r="AK303" s="58"/>
    </row>
    <row r="304" ht="14.2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8"/>
      <c r="AG304" s="58"/>
      <c r="AH304" s="58"/>
      <c r="AI304" s="58"/>
      <c r="AJ304" s="58"/>
      <c r="AK304" s="58"/>
    </row>
    <row r="305" ht="14.2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8"/>
      <c r="AG305" s="58"/>
      <c r="AH305" s="58"/>
      <c r="AI305" s="58"/>
      <c r="AJ305" s="58"/>
      <c r="AK305" s="58"/>
    </row>
    <row r="306" ht="14.2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8"/>
      <c r="AG306" s="58"/>
      <c r="AH306" s="58"/>
      <c r="AI306" s="58"/>
      <c r="AJ306" s="58"/>
      <c r="AK306" s="58"/>
    </row>
    <row r="307" ht="14.2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8"/>
      <c r="AG307" s="58"/>
      <c r="AH307" s="58"/>
      <c r="AI307" s="58"/>
      <c r="AJ307" s="58"/>
      <c r="AK307" s="58"/>
    </row>
    <row r="308" ht="14.2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8"/>
      <c r="AG308" s="58"/>
      <c r="AH308" s="58"/>
      <c r="AI308" s="58"/>
      <c r="AJ308" s="58"/>
      <c r="AK308" s="58"/>
    </row>
    <row r="309" ht="14.2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8"/>
      <c r="AG309" s="58"/>
      <c r="AH309" s="58"/>
      <c r="AI309" s="58"/>
      <c r="AJ309" s="58"/>
      <c r="AK309" s="58"/>
    </row>
    <row r="310" ht="14.2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8"/>
      <c r="AG310" s="58"/>
      <c r="AH310" s="58"/>
      <c r="AI310" s="58"/>
      <c r="AJ310" s="58"/>
      <c r="AK310" s="58"/>
    </row>
    <row r="311" ht="14.2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8"/>
      <c r="AG311" s="58"/>
      <c r="AH311" s="58"/>
      <c r="AI311" s="58"/>
      <c r="AJ311" s="58"/>
      <c r="AK311" s="58"/>
    </row>
    <row r="312" ht="14.2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8"/>
      <c r="AG312" s="58"/>
      <c r="AH312" s="58"/>
      <c r="AI312" s="58"/>
      <c r="AJ312" s="58"/>
      <c r="AK312" s="58"/>
    </row>
    <row r="313" ht="14.2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8"/>
      <c r="AG313" s="58"/>
      <c r="AH313" s="58"/>
      <c r="AI313" s="58"/>
      <c r="AJ313" s="58"/>
      <c r="AK313" s="58"/>
    </row>
    <row r="314" ht="14.2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8"/>
      <c r="AG314" s="58"/>
      <c r="AH314" s="58"/>
      <c r="AI314" s="58"/>
      <c r="AJ314" s="58"/>
      <c r="AK314" s="58"/>
    </row>
    <row r="315" ht="14.2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8"/>
      <c r="AG315" s="58"/>
      <c r="AH315" s="58"/>
      <c r="AI315" s="58"/>
      <c r="AJ315" s="58"/>
      <c r="AK315" s="58"/>
    </row>
    <row r="316" ht="14.2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8"/>
      <c r="AG316" s="58"/>
      <c r="AH316" s="58"/>
      <c r="AI316" s="58"/>
      <c r="AJ316" s="58"/>
      <c r="AK316" s="58"/>
    </row>
    <row r="317" ht="14.2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8"/>
      <c r="AG317" s="58"/>
      <c r="AH317" s="58"/>
      <c r="AI317" s="58"/>
      <c r="AJ317" s="58"/>
      <c r="AK317" s="58"/>
    </row>
    <row r="318" ht="14.2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8"/>
      <c r="AG318" s="58"/>
      <c r="AH318" s="58"/>
      <c r="AI318" s="58"/>
      <c r="AJ318" s="58"/>
      <c r="AK318" s="58"/>
    </row>
    <row r="319" ht="14.2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8"/>
      <c r="AG319" s="58"/>
      <c r="AH319" s="58"/>
      <c r="AI319" s="58"/>
      <c r="AJ319" s="58"/>
      <c r="AK319" s="58"/>
    </row>
    <row r="320" ht="14.2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8"/>
      <c r="AG320" s="58"/>
      <c r="AH320" s="58"/>
      <c r="AI320" s="58"/>
      <c r="AJ320" s="58"/>
      <c r="AK320" s="58"/>
    </row>
    <row r="321" ht="14.2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8"/>
      <c r="AG321" s="58"/>
      <c r="AH321" s="58"/>
      <c r="AI321" s="58"/>
      <c r="AJ321" s="58"/>
      <c r="AK321" s="58"/>
    </row>
    <row r="322" ht="14.2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8"/>
      <c r="AG322" s="58"/>
      <c r="AH322" s="58"/>
      <c r="AI322" s="58"/>
      <c r="AJ322" s="58"/>
      <c r="AK322" s="58"/>
    </row>
    <row r="323" ht="14.2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8"/>
      <c r="AG323" s="58"/>
      <c r="AH323" s="58"/>
      <c r="AI323" s="58"/>
      <c r="AJ323" s="58"/>
      <c r="AK323" s="58"/>
    </row>
    <row r="324" ht="14.2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8"/>
      <c r="AG324" s="58"/>
      <c r="AH324" s="58"/>
      <c r="AI324" s="58"/>
      <c r="AJ324" s="58"/>
      <c r="AK324" s="58"/>
    </row>
    <row r="325" ht="14.2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8"/>
      <c r="AG325" s="58"/>
      <c r="AH325" s="58"/>
      <c r="AI325" s="58"/>
      <c r="AJ325" s="58"/>
      <c r="AK325" s="58"/>
    </row>
    <row r="326" ht="14.2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8"/>
      <c r="AG326" s="58"/>
      <c r="AH326" s="58"/>
      <c r="AI326" s="58"/>
      <c r="AJ326" s="58"/>
      <c r="AK326" s="58"/>
    </row>
    <row r="327" ht="14.2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8"/>
      <c r="AG327" s="58"/>
      <c r="AH327" s="58"/>
      <c r="AI327" s="58"/>
      <c r="AJ327" s="58"/>
      <c r="AK327" s="58"/>
    </row>
    <row r="328" ht="14.2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8"/>
      <c r="AG328" s="58"/>
      <c r="AH328" s="58"/>
      <c r="AI328" s="58"/>
      <c r="AJ328" s="58"/>
      <c r="AK328" s="58"/>
    </row>
    <row r="329" ht="14.2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8"/>
      <c r="AG329" s="58"/>
      <c r="AH329" s="58"/>
      <c r="AI329" s="58"/>
      <c r="AJ329" s="58"/>
      <c r="AK329" s="58"/>
    </row>
    <row r="330" ht="14.2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8"/>
      <c r="AG330" s="58"/>
      <c r="AH330" s="58"/>
      <c r="AI330" s="58"/>
      <c r="AJ330" s="58"/>
      <c r="AK330" s="58"/>
    </row>
    <row r="331" ht="14.2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8"/>
      <c r="AG331" s="58"/>
      <c r="AH331" s="58"/>
      <c r="AI331" s="58"/>
      <c r="AJ331" s="58"/>
      <c r="AK331" s="58"/>
    </row>
    <row r="332" ht="14.2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8"/>
      <c r="AG332" s="58"/>
      <c r="AH332" s="58"/>
      <c r="AI332" s="58"/>
      <c r="AJ332" s="58"/>
      <c r="AK332" s="58"/>
    </row>
    <row r="333" ht="14.2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8"/>
      <c r="AG333" s="58"/>
      <c r="AH333" s="58"/>
      <c r="AI333" s="58"/>
      <c r="AJ333" s="58"/>
      <c r="AK333" s="58"/>
    </row>
    <row r="334" ht="14.2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8"/>
      <c r="AG334" s="58"/>
      <c r="AH334" s="58"/>
      <c r="AI334" s="58"/>
      <c r="AJ334" s="58"/>
      <c r="AK334" s="58"/>
    </row>
    <row r="335" ht="14.2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8"/>
      <c r="AG335" s="58"/>
      <c r="AH335" s="58"/>
      <c r="AI335" s="58"/>
      <c r="AJ335" s="58"/>
      <c r="AK335" s="58"/>
    </row>
    <row r="336" ht="14.2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8"/>
      <c r="AG336" s="58"/>
      <c r="AH336" s="58"/>
      <c r="AI336" s="58"/>
      <c r="AJ336" s="58"/>
      <c r="AK336" s="58"/>
    </row>
    <row r="337" ht="14.2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8"/>
      <c r="AG337" s="58"/>
      <c r="AH337" s="58"/>
      <c r="AI337" s="58"/>
      <c r="AJ337" s="58"/>
      <c r="AK337" s="58"/>
    </row>
    <row r="338" ht="14.2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8"/>
      <c r="AG338" s="58"/>
      <c r="AH338" s="58"/>
      <c r="AI338" s="58"/>
      <c r="AJ338" s="58"/>
      <c r="AK338" s="58"/>
    </row>
    <row r="339" ht="14.2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8"/>
      <c r="AG339" s="58"/>
      <c r="AH339" s="58"/>
      <c r="AI339" s="58"/>
      <c r="AJ339" s="58"/>
      <c r="AK339" s="58"/>
    </row>
    <row r="340" ht="14.2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8"/>
      <c r="AG340" s="58"/>
      <c r="AH340" s="58"/>
      <c r="AI340" s="58"/>
      <c r="AJ340" s="58"/>
      <c r="AK340" s="58"/>
    </row>
    <row r="341" ht="14.2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8"/>
      <c r="AG341" s="58"/>
      <c r="AH341" s="58"/>
      <c r="AI341" s="58"/>
      <c r="AJ341" s="58"/>
      <c r="AK341" s="58"/>
    </row>
    <row r="342" ht="14.2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8"/>
      <c r="AG342" s="58"/>
      <c r="AH342" s="58"/>
      <c r="AI342" s="58"/>
      <c r="AJ342" s="58"/>
      <c r="AK342" s="58"/>
    </row>
    <row r="343" ht="14.2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8"/>
      <c r="AG343" s="58"/>
      <c r="AH343" s="58"/>
      <c r="AI343" s="58"/>
      <c r="AJ343" s="58"/>
      <c r="AK343" s="58"/>
    </row>
    <row r="344" ht="14.2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8"/>
      <c r="AG344" s="58"/>
      <c r="AH344" s="58"/>
      <c r="AI344" s="58"/>
      <c r="AJ344" s="58"/>
      <c r="AK344" s="58"/>
    </row>
    <row r="345" ht="14.2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8"/>
      <c r="AG345" s="58"/>
      <c r="AH345" s="58"/>
      <c r="AI345" s="58"/>
      <c r="AJ345" s="58"/>
      <c r="AK345" s="58"/>
    </row>
    <row r="346" ht="14.2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8"/>
      <c r="AG346" s="58"/>
      <c r="AH346" s="58"/>
      <c r="AI346" s="58"/>
      <c r="AJ346" s="58"/>
      <c r="AK346" s="58"/>
    </row>
    <row r="347" ht="14.2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8"/>
      <c r="AG347" s="58"/>
      <c r="AH347" s="58"/>
      <c r="AI347" s="58"/>
      <c r="AJ347" s="58"/>
      <c r="AK347" s="58"/>
    </row>
    <row r="348" ht="14.2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8"/>
      <c r="AG348" s="58"/>
      <c r="AH348" s="58"/>
      <c r="AI348" s="58"/>
      <c r="AJ348" s="58"/>
      <c r="AK348" s="58"/>
    </row>
    <row r="349" ht="14.2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8"/>
      <c r="AG349" s="58"/>
      <c r="AH349" s="58"/>
      <c r="AI349" s="58"/>
      <c r="AJ349" s="58"/>
      <c r="AK349" s="58"/>
    </row>
    <row r="350" ht="14.2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8"/>
      <c r="AG350" s="58"/>
      <c r="AH350" s="58"/>
      <c r="AI350" s="58"/>
      <c r="AJ350" s="58"/>
      <c r="AK350" s="58"/>
    </row>
    <row r="351" ht="14.2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8"/>
      <c r="AG351" s="58"/>
      <c r="AH351" s="58"/>
      <c r="AI351" s="58"/>
      <c r="AJ351" s="58"/>
      <c r="AK351" s="58"/>
    </row>
    <row r="352" ht="14.2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8"/>
      <c r="AG352" s="58"/>
      <c r="AH352" s="58"/>
      <c r="AI352" s="58"/>
      <c r="AJ352" s="58"/>
      <c r="AK352" s="58"/>
    </row>
    <row r="353" ht="14.2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8"/>
      <c r="AG353" s="58"/>
      <c r="AH353" s="58"/>
      <c r="AI353" s="58"/>
      <c r="AJ353" s="58"/>
      <c r="AK353" s="58"/>
    </row>
    <row r="354" ht="14.2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8"/>
      <c r="AG354" s="58"/>
      <c r="AH354" s="58"/>
      <c r="AI354" s="58"/>
      <c r="AJ354" s="58"/>
      <c r="AK354" s="58"/>
    </row>
    <row r="355" ht="14.2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8"/>
      <c r="AG355" s="58"/>
      <c r="AH355" s="58"/>
      <c r="AI355" s="58"/>
      <c r="AJ355" s="58"/>
      <c r="AK355" s="58"/>
    </row>
    <row r="356" ht="14.2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8"/>
      <c r="AG356" s="58"/>
      <c r="AH356" s="58"/>
      <c r="AI356" s="58"/>
      <c r="AJ356" s="58"/>
      <c r="AK356" s="58"/>
    </row>
    <row r="357" ht="14.2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8"/>
      <c r="AG357" s="58"/>
      <c r="AH357" s="58"/>
      <c r="AI357" s="58"/>
      <c r="AJ357" s="58"/>
      <c r="AK357" s="58"/>
    </row>
    <row r="358" ht="14.2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8"/>
      <c r="AG358" s="58"/>
      <c r="AH358" s="58"/>
      <c r="AI358" s="58"/>
      <c r="AJ358" s="58"/>
      <c r="AK358" s="58"/>
    </row>
    <row r="359" ht="14.2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8"/>
      <c r="AG359" s="58"/>
      <c r="AH359" s="58"/>
      <c r="AI359" s="58"/>
      <c r="AJ359" s="58"/>
      <c r="AK359" s="58"/>
    </row>
    <row r="360" ht="14.2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8"/>
      <c r="AG360" s="58"/>
      <c r="AH360" s="58"/>
      <c r="AI360" s="58"/>
      <c r="AJ360" s="58"/>
      <c r="AK360" s="58"/>
    </row>
    <row r="361" ht="14.2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8"/>
      <c r="AG361" s="58"/>
      <c r="AH361" s="58"/>
      <c r="AI361" s="58"/>
      <c r="AJ361" s="58"/>
      <c r="AK361" s="58"/>
    </row>
    <row r="362" ht="14.2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8"/>
      <c r="AG362" s="58"/>
      <c r="AH362" s="58"/>
      <c r="AI362" s="58"/>
      <c r="AJ362" s="58"/>
      <c r="AK362" s="58"/>
    </row>
    <row r="363" ht="14.2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8"/>
      <c r="AG363" s="58"/>
      <c r="AH363" s="58"/>
      <c r="AI363" s="58"/>
      <c r="AJ363" s="58"/>
      <c r="AK363" s="58"/>
    </row>
    <row r="364" ht="14.2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8"/>
      <c r="AG364" s="58"/>
      <c r="AH364" s="58"/>
      <c r="AI364" s="58"/>
      <c r="AJ364" s="58"/>
      <c r="AK364" s="58"/>
    </row>
    <row r="365" ht="14.2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8"/>
      <c r="AG365" s="58"/>
      <c r="AH365" s="58"/>
      <c r="AI365" s="58"/>
      <c r="AJ365" s="58"/>
      <c r="AK365" s="58"/>
    </row>
    <row r="366" ht="14.2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8"/>
      <c r="AG366" s="58"/>
      <c r="AH366" s="58"/>
      <c r="AI366" s="58"/>
      <c r="AJ366" s="58"/>
      <c r="AK366" s="58"/>
    </row>
    <row r="367" ht="14.2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8"/>
      <c r="AG367" s="58"/>
      <c r="AH367" s="58"/>
      <c r="AI367" s="58"/>
      <c r="AJ367" s="58"/>
      <c r="AK367" s="58"/>
    </row>
    <row r="368" ht="14.2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8"/>
      <c r="AG368" s="58"/>
      <c r="AH368" s="58"/>
      <c r="AI368" s="58"/>
      <c r="AJ368" s="58"/>
      <c r="AK368" s="58"/>
    </row>
    <row r="369" ht="14.2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8"/>
      <c r="AG369" s="58"/>
      <c r="AH369" s="58"/>
      <c r="AI369" s="58"/>
      <c r="AJ369" s="58"/>
      <c r="AK369" s="58"/>
    </row>
    <row r="370" ht="14.2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8"/>
      <c r="AG370" s="58"/>
      <c r="AH370" s="58"/>
      <c r="AI370" s="58"/>
      <c r="AJ370" s="58"/>
      <c r="AK370" s="58"/>
    </row>
    <row r="371" ht="14.2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8"/>
      <c r="AG371" s="58"/>
      <c r="AH371" s="58"/>
      <c r="AI371" s="58"/>
      <c r="AJ371" s="58"/>
      <c r="AK371" s="58"/>
    </row>
    <row r="372" ht="14.2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8"/>
      <c r="AG372" s="58"/>
      <c r="AH372" s="58"/>
      <c r="AI372" s="58"/>
      <c r="AJ372" s="58"/>
      <c r="AK372" s="58"/>
    </row>
    <row r="373" ht="14.2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8"/>
      <c r="AG373" s="58"/>
      <c r="AH373" s="58"/>
      <c r="AI373" s="58"/>
      <c r="AJ373" s="58"/>
      <c r="AK373" s="58"/>
    </row>
    <row r="374" ht="14.2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8"/>
      <c r="AG374" s="58"/>
      <c r="AH374" s="58"/>
      <c r="AI374" s="58"/>
      <c r="AJ374" s="58"/>
      <c r="AK374" s="58"/>
    </row>
    <row r="375" ht="14.2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8"/>
      <c r="AG375" s="58"/>
      <c r="AH375" s="58"/>
      <c r="AI375" s="58"/>
      <c r="AJ375" s="58"/>
      <c r="AK375" s="58"/>
    </row>
    <row r="376" ht="14.2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8"/>
      <c r="AG376" s="58"/>
      <c r="AH376" s="58"/>
      <c r="AI376" s="58"/>
      <c r="AJ376" s="58"/>
      <c r="AK376" s="58"/>
    </row>
    <row r="377" ht="14.2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8"/>
      <c r="AG377" s="58"/>
      <c r="AH377" s="58"/>
      <c r="AI377" s="58"/>
      <c r="AJ377" s="58"/>
      <c r="AK377" s="58"/>
    </row>
    <row r="378" ht="14.2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8"/>
      <c r="AG378" s="58"/>
      <c r="AH378" s="58"/>
      <c r="AI378" s="58"/>
      <c r="AJ378" s="58"/>
      <c r="AK378" s="58"/>
    </row>
    <row r="379" ht="14.2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8"/>
      <c r="AG379" s="58"/>
      <c r="AH379" s="58"/>
      <c r="AI379" s="58"/>
      <c r="AJ379" s="58"/>
      <c r="AK379" s="58"/>
    </row>
    <row r="380" ht="14.2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8"/>
      <c r="AG380" s="58"/>
      <c r="AH380" s="58"/>
      <c r="AI380" s="58"/>
      <c r="AJ380" s="58"/>
      <c r="AK380" s="58"/>
    </row>
    <row r="381" ht="14.2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8"/>
      <c r="AG381" s="58"/>
      <c r="AH381" s="58"/>
      <c r="AI381" s="58"/>
      <c r="AJ381" s="58"/>
      <c r="AK381" s="58"/>
    </row>
    <row r="382" ht="14.2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8"/>
      <c r="AG382" s="58"/>
      <c r="AH382" s="58"/>
      <c r="AI382" s="58"/>
      <c r="AJ382" s="58"/>
      <c r="AK382" s="58"/>
    </row>
    <row r="383" ht="14.2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8"/>
      <c r="AG383" s="58"/>
      <c r="AH383" s="58"/>
      <c r="AI383" s="58"/>
      <c r="AJ383" s="58"/>
      <c r="AK383" s="58"/>
    </row>
    <row r="384" ht="14.2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8"/>
      <c r="AG384" s="58"/>
      <c r="AH384" s="58"/>
      <c r="AI384" s="58"/>
      <c r="AJ384" s="58"/>
      <c r="AK384" s="58"/>
    </row>
    <row r="385" ht="14.2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8"/>
      <c r="AG385" s="58"/>
      <c r="AH385" s="58"/>
      <c r="AI385" s="58"/>
      <c r="AJ385" s="58"/>
      <c r="AK385" s="58"/>
    </row>
    <row r="386" ht="14.2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8"/>
      <c r="AG386" s="58"/>
      <c r="AH386" s="58"/>
      <c r="AI386" s="58"/>
      <c r="AJ386" s="58"/>
      <c r="AK386" s="58"/>
    </row>
    <row r="387" ht="14.2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8"/>
      <c r="AG387" s="58"/>
      <c r="AH387" s="58"/>
      <c r="AI387" s="58"/>
      <c r="AJ387" s="58"/>
      <c r="AK387" s="58"/>
    </row>
    <row r="388" ht="14.2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8"/>
      <c r="AG388" s="58"/>
      <c r="AH388" s="58"/>
      <c r="AI388" s="58"/>
      <c r="AJ388" s="58"/>
      <c r="AK388" s="58"/>
    </row>
    <row r="389" ht="14.2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8"/>
      <c r="AG389" s="58"/>
      <c r="AH389" s="58"/>
      <c r="AI389" s="58"/>
      <c r="AJ389" s="58"/>
      <c r="AK389" s="58"/>
    </row>
    <row r="390" ht="14.2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8"/>
      <c r="AG390" s="58"/>
      <c r="AH390" s="58"/>
      <c r="AI390" s="58"/>
      <c r="AJ390" s="58"/>
      <c r="AK390" s="58"/>
    </row>
    <row r="391" ht="14.2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8"/>
      <c r="AG391" s="58"/>
      <c r="AH391" s="58"/>
      <c r="AI391" s="58"/>
      <c r="AJ391" s="58"/>
      <c r="AK391" s="58"/>
    </row>
    <row r="392" ht="14.2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8"/>
      <c r="AG392" s="58"/>
      <c r="AH392" s="58"/>
      <c r="AI392" s="58"/>
      <c r="AJ392" s="58"/>
      <c r="AK392" s="58"/>
    </row>
    <row r="393" ht="14.2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8"/>
      <c r="AG393" s="58"/>
      <c r="AH393" s="58"/>
      <c r="AI393" s="58"/>
      <c r="AJ393" s="58"/>
      <c r="AK393" s="58"/>
    </row>
    <row r="394" ht="14.2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8"/>
      <c r="AG394" s="58"/>
      <c r="AH394" s="58"/>
      <c r="AI394" s="58"/>
      <c r="AJ394" s="58"/>
      <c r="AK394" s="58"/>
    </row>
    <row r="395" ht="14.2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8"/>
      <c r="AG395" s="58"/>
      <c r="AH395" s="58"/>
      <c r="AI395" s="58"/>
      <c r="AJ395" s="58"/>
      <c r="AK395" s="58"/>
    </row>
    <row r="396" ht="14.2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8"/>
      <c r="AG396" s="58"/>
      <c r="AH396" s="58"/>
      <c r="AI396" s="58"/>
      <c r="AJ396" s="58"/>
      <c r="AK396" s="58"/>
    </row>
    <row r="397" ht="14.2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8"/>
      <c r="AG397" s="58"/>
      <c r="AH397" s="58"/>
      <c r="AI397" s="58"/>
      <c r="AJ397" s="58"/>
      <c r="AK397" s="58"/>
    </row>
    <row r="398" ht="14.2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8"/>
      <c r="AG398" s="58"/>
      <c r="AH398" s="58"/>
      <c r="AI398" s="58"/>
      <c r="AJ398" s="58"/>
      <c r="AK398" s="58"/>
    </row>
    <row r="399" ht="14.2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8"/>
      <c r="AG399" s="58"/>
      <c r="AH399" s="58"/>
      <c r="AI399" s="58"/>
      <c r="AJ399" s="58"/>
      <c r="AK399" s="58"/>
    </row>
    <row r="400" ht="14.2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8"/>
      <c r="AG400" s="58"/>
      <c r="AH400" s="58"/>
      <c r="AI400" s="58"/>
      <c r="AJ400" s="58"/>
      <c r="AK400" s="58"/>
    </row>
    <row r="401" ht="14.2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8"/>
      <c r="AG401" s="58"/>
      <c r="AH401" s="58"/>
      <c r="AI401" s="58"/>
      <c r="AJ401" s="58"/>
      <c r="AK401" s="58"/>
    </row>
    <row r="402" ht="14.2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8"/>
      <c r="AG402" s="58"/>
      <c r="AH402" s="58"/>
      <c r="AI402" s="58"/>
      <c r="AJ402" s="58"/>
      <c r="AK402" s="58"/>
    </row>
    <row r="403" ht="14.2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8"/>
      <c r="AG403" s="58"/>
      <c r="AH403" s="58"/>
      <c r="AI403" s="58"/>
      <c r="AJ403" s="58"/>
      <c r="AK403" s="58"/>
    </row>
    <row r="404" ht="14.2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8"/>
      <c r="AG404" s="58"/>
      <c r="AH404" s="58"/>
      <c r="AI404" s="58"/>
      <c r="AJ404" s="58"/>
      <c r="AK404" s="58"/>
    </row>
    <row r="405" ht="14.2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8"/>
      <c r="AG405" s="58"/>
      <c r="AH405" s="58"/>
      <c r="AI405" s="58"/>
      <c r="AJ405" s="58"/>
      <c r="AK405" s="58"/>
    </row>
    <row r="406" ht="14.2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8"/>
      <c r="AG406" s="58"/>
      <c r="AH406" s="58"/>
      <c r="AI406" s="58"/>
      <c r="AJ406" s="58"/>
      <c r="AK406" s="58"/>
    </row>
    <row r="407" ht="14.2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8"/>
      <c r="AG407" s="58"/>
      <c r="AH407" s="58"/>
      <c r="AI407" s="58"/>
      <c r="AJ407" s="58"/>
      <c r="AK407" s="58"/>
    </row>
    <row r="408" ht="14.2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8"/>
      <c r="AG408" s="58"/>
      <c r="AH408" s="58"/>
      <c r="AI408" s="58"/>
      <c r="AJ408" s="58"/>
      <c r="AK408" s="58"/>
    </row>
    <row r="409" ht="14.2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8"/>
      <c r="AG409" s="58"/>
      <c r="AH409" s="58"/>
      <c r="AI409" s="58"/>
      <c r="AJ409" s="58"/>
      <c r="AK409" s="58"/>
    </row>
    <row r="410" ht="14.2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8"/>
      <c r="AG410" s="58"/>
      <c r="AH410" s="58"/>
      <c r="AI410" s="58"/>
      <c r="AJ410" s="58"/>
      <c r="AK410" s="58"/>
    </row>
    <row r="411" ht="14.2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8"/>
      <c r="AG411" s="58"/>
      <c r="AH411" s="58"/>
      <c r="AI411" s="58"/>
      <c r="AJ411" s="58"/>
      <c r="AK411" s="58"/>
    </row>
    <row r="412" ht="14.2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8"/>
      <c r="AG412" s="58"/>
      <c r="AH412" s="58"/>
      <c r="AI412" s="58"/>
      <c r="AJ412" s="58"/>
      <c r="AK412" s="58"/>
    </row>
    <row r="413" ht="14.2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8"/>
      <c r="AG413" s="58"/>
      <c r="AH413" s="58"/>
      <c r="AI413" s="58"/>
      <c r="AJ413" s="58"/>
      <c r="AK413" s="58"/>
    </row>
    <row r="414" ht="14.2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8"/>
      <c r="AG414" s="58"/>
      <c r="AH414" s="58"/>
      <c r="AI414" s="58"/>
      <c r="AJ414" s="58"/>
      <c r="AK414" s="58"/>
    </row>
    <row r="415" ht="14.2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8"/>
      <c r="AG415" s="58"/>
      <c r="AH415" s="58"/>
      <c r="AI415" s="58"/>
      <c r="AJ415" s="58"/>
      <c r="AK415" s="58"/>
    </row>
    <row r="416" ht="14.2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8"/>
      <c r="AG416" s="58"/>
      <c r="AH416" s="58"/>
      <c r="AI416" s="58"/>
      <c r="AJ416" s="58"/>
      <c r="AK416" s="58"/>
    </row>
    <row r="417" ht="14.2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8"/>
      <c r="AG417" s="58"/>
      <c r="AH417" s="58"/>
      <c r="AI417" s="58"/>
      <c r="AJ417" s="58"/>
      <c r="AK417" s="58"/>
    </row>
    <row r="418" ht="14.2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8"/>
      <c r="AG418" s="58"/>
      <c r="AH418" s="58"/>
      <c r="AI418" s="58"/>
      <c r="AJ418" s="58"/>
      <c r="AK418" s="58"/>
    </row>
    <row r="419" ht="14.2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8"/>
      <c r="AG419" s="58"/>
      <c r="AH419" s="58"/>
      <c r="AI419" s="58"/>
      <c r="AJ419" s="58"/>
      <c r="AK419" s="58"/>
    </row>
    <row r="420" ht="14.2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8"/>
      <c r="AG420" s="58"/>
      <c r="AH420" s="58"/>
      <c r="AI420" s="58"/>
      <c r="AJ420" s="58"/>
      <c r="AK420" s="58"/>
    </row>
    <row r="421" ht="14.2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8"/>
      <c r="AG421" s="58"/>
      <c r="AH421" s="58"/>
      <c r="AI421" s="58"/>
      <c r="AJ421" s="58"/>
      <c r="AK421" s="58"/>
    </row>
    <row r="422" ht="14.2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8"/>
      <c r="AG422" s="58"/>
      <c r="AH422" s="58"/>
      <c r="AI422" s="58"/>
      <c r="AJ422" s="58"/>
      <c r="AK422" s="58"/>
    </row>
    <row r="423" ht="14.2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8"/>
      <c r="AG423" s="58"/>
      <c r="AH423" s="58"/>
      <c r="AI423" s="58"/>
      <c r="AJ423" s="58"/>
      <c r="AK423" s="58"/>
    </row>
    <row r="424" ht="14.2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8"/>
      <c r="AG424" s="58"/>
      <c r="AH424" s="58"/>
      <c r="AI424" s="58"/>
      <c r="AJ424" s="58"/>
      <c r="AK424" s="58"/>
    </row>
    <row r="425" ht="14.2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8"/>
      <c r="AG425" s="58"/>
      <c r="AH425" s="58"/>
      <c r="AI425" s="58"/>
      <c r="AJ425" s="58"/>
      <c r="AK425" s="58"/>
    </row>
    <row r="426" ht="14.2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8"/>
      <c r="AG426" s="58"/>
      <c r="AH426" s="58"/>
      <c r="AI426" s="58"/>
      <c r="AJ426" s="58"/>
      <c r="AK426" s="58"/>
    </row>
    <row r="427" ht="14.2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8"/>
      <c r="AG427" s="58"/>
      <c r="AH427" s="58"/>
      <c r="AI427" s="58"/>
      <c r="AJ427" s="58"/>
      <c r="AK427" s="58"/>
    </row>
    <row r="428" ht="14.2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8"/>
      <c r="AG428" s="58"/>
      <c r="AH428" s="58"/>
      <c r="AI428" s="58"/>
      <c r="AJ428" s="58"/>
      <c r="AK428" s="58"/>
    </row>
    <row r="429" ht="14.2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8"/>
      <c r="AG429" s="58"/>
      <c r="AH429" s="58"/>
      <c r="AI429" s="58"/>
      <c r="AJ429" s="58"/>
      <c r="AK429" s="58"/>
    </row>
    <row r="430" ht="14.2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8"/>
      <c r="AG430" s="58"/>
      <c r="AH430" s="58"/>
      <c r="AI430" s="58"/>
      <c r="AJ430" s="58"/>
      <c r="AK430" s="58"/>
    </row>
    <row r="431" ht="14.2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8"/>
      <c r="AG431" s="58"/>
      <c r="AH431" s="58"/>
      <c r="AI431" s="58"/>
      <c r="AJ431" s="58"/>
      <c r="AK431" s="58"/>
    </row>
    <row r="432" ht="14.2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8"/>
      <c r="AG432" s="58"/>
      <c r="AH432" s="58"/>
      <c r="AI432" s="58"/>
      <c r="AJ432" s="58"/>
      <c r="AK432" s="58"/>
    </row>
    <row r="433" ht="14.2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8"/>
      <c r="AG433" s="58"/>
      <c r="AH433" s="58"/>
      <c r="AI433" s="58"/>
      <c r="AJ433" s="58"/>
      <c r="AK433" s="58"/>
    </row>
    <row r="434" ht="14.2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8"/>
      <c r="AG434" s="58"/>
      <c r="AH434" s="58"/>
      <c r="AI434" s="58"/>
      <c r="AJ434" s="58"/>
      <c r="AK434" s="58"/>
    </row>
    <row r="435" ht="14.2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8"/>
      <c r="AG435" s="58"/>
      <c r="AH435" s="58"/>
      <c r="AI435" s="58"/>
      <c r="AJ435" s="58"/>
      <c r="AK435" s="58"/>
    </row>
    <row r="436" ht="14.2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8"/>
      <c r="AG436" s="58"/>
      <c r="AH436" s="58"/>
      <c r="AI436" s="58"/>
      <c r="AJ436" s="58"/>
      <c r="AK436" s="58"/>
    </row>
    <row r="437" ht="14.2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8"/>
      <c r="AG437" s="58"/>
      <c r="AH437" s="58"/>
      <c r="AI437" s="58"/>
      <c r="AJ437" s="58"/>
      <c r="AK437" s="58"/>
    </row>
    <row r="438" ht="14.2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8"/>
      <c r="AG438" s="58"/>
      <c r="AH438" s="58"/>
      <c r="AI438" s="58"/>
      <c r="AJ438" s="58"/>
      <c r="AK438" s="58"/>
    </row>
    <row r="439" ht="14.2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8"/>
      <c r="AG439" s="58"/>
      <c r="AH439" s="58"/>
      <c r="AI439" s="58"/>
      <c r="AJ439" s="58"/>
      <c r="AK439" s="58"/>
    </row>
    <row r="440" ht="14.2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8"/>
      <c r="AG440" s="58"/>
      <c r="AH440" s="58"/>
      <c r="AI440" s="58"/>
      <c r="AJ440" s="58"/>
      <c r="AK440" s="58"/>
    </row>
    <row r="441" ht="14.2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8"/>
      <c r="AG441" s="58"/>
      <c r="AH441" s="58"/>
      <c r="AI441" s="58"/>
      <c r="AJ441" s="58"/>
      <c r="AK441" s="58"/>
    </row>
    <row r="442" ht="14.2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8"/>
      <c r="AG442" s="58"/>
      <c r="AH442" s="58"/>
      <c r="AI442" s="58"/>
      <c r="AJ442" s="58"/>
      <c r="AK442" s="58"/>
    </row>
    <row r="443" ht="14.2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8"/>
      <c r="AG443" s="58"/>
      <c r="AH443" s="58"/>
      <c r="AI443" s="58"/>
      <c r="AJ443" s="58"/>
      <c r="AK443" s="58"/>
    </row>
    <row r="444" ht="14.2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8"/>
      <c r="AG444" s="58"/>
      <c r="AH444" s="58"/>
      <c r="AI444" s="58"/>
      <c r="AJ444" s="58"/>
      <c r="AK444" s="58"/>
    </row>
    <row r="445" ht="14.2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8"/>
      <c r="AG445" s="58"/>
      <c r="AH445" s="58"/>
      <c r="AI445" s="58"/>
      <c r="AJ445" s="58"/>
      <c r="AK445" s="58"/>
    </row>
    <row r="446" ht="14.2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8"/>
      <c r="AG446" s="58"/>
      <c r="AH446" s="58"/>
      <c r="AI446" s="58"/>
      <c r="AJ446" s="58"/>
      <c r="AK446" s="58"/>
    </row>
    <row r="447" ht="14.2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8"/>
      <c r="AG447" s="58"/>
      <c r="AH447" s="58"/>
      <c r="AI447" s="58"/>
      <c r="AJ447" s="58"/>
      <c r="AK447" s="58"/>
    </row>
    <row r="448" ht="14.2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8"/>
      <c r="AG448" s="58"/>
      <c r="AH448" s="58"/>
      <c r="AI448" s="58"/>
      <c r="AJ448" s="58"/>
      <c r="AK448" s="58"/>
    </row>
    <row r="449" ht="14.2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8"/>
      <c r="AG449" s="58"/>
      <c r="AH449" s="58"/>
      <c r="AI449" s="58"/>
      <c r="AJ449" s="58"/>
      <c r="AK449" s="58"/>
    </row>
    <row r="450" ht="14.2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8"/>
      <c r="AG450" s="58"/>
      <c r="AH450" s="58"/>
      <c r="AI450" s="58"/>
      <c r="AJ450" s="58"/>
      <c r="AK450" s="58"/>
    </row>
    <row r="451" ht="14.2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8"/>
      <c r="AG451" s="58"/>
      <c r="AH451" s="58"/>
      <c r="AI451" s="58"/>
      <c r="AJ451" s="58"/>
      <c r="AK451" s="58"/>
    </row>
    <row r="452" ht="14.2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8"/>
      <c r="AG452" s="58"/>
      <c r="AH452" s="58"/>
      <c r="AI452" s="58"/>
      <c r="AJ452" s="58"/>
      <c r="AK452" s="58"/>
    </row>
    <row r="453" ht="14.2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8"/>
      <c r="AG453" s="58"/>
      <c r="AH453" s="58"/>
      <c r="AI453" s="58"/>
      <c r="AJ453" s="58"/>
      <c r="AK453" s="58"/>
    </row>
    <row r="454" ht="14.2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8"/>
      <c r="AG454" s="58"/>
      <c r="AH454" s="58"/>
      <c r="AI454" s="58"/>
      <c r="AJ454" s="58"/>
      <c r="AK454" s="58"/>
    </row>
    <row r="455" ht="14.2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8"/>
      <c r="AG455" s="58"/>
      <c r="AH455" s="58"/>
      <c r="AI455" s="58"/>
      <c r="AJ455" s="58"/>
      <c r="AK455" s="58"/>
    </row>
    <row r="456" ht="14.2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8"/>
      <c r="AG456" s="58"/>
      <c r="AH456" s="58"/>
      <c r="AI456" s="58"/>
      <c r="AJ456" s="58"/>
      <c r="AK456" s="58"/>
    </row>
    <row r="457" ht="14.2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8"/>
      <c r="AG457" s="58"/>
      <c r="AH457" s="58"/>
      <c r="AI457" s="58"/>
      <c r="AJ457" s="58"/>
      <c r="AK457" s="58"/>
    </row>
    <row r="458" ht="14.2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8"/>
      <c r="AG458" s="58"/>
      <c r="AH458" s="58"/>
      <c r="AI458" s="58"/>
      <c r="AJ458" s="58"/>
      <c r="AK458" s="58"/>
    </row>
    <row r="459" ht="14.2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8"/>
      <c r="AG459" s="58"/>
      <c r="AH459" s="58"/>
      <c r="AI459" s="58"/>
      <c r="AJ459" s="58"/>
      <c r="AK459" s="58"/>
    </row>
    <row r="460" ht="14.2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8"/>
      <c r="AG460" s="58"/>
      <c r="AH460" s="58"/>
      <c r="AI460" s="58"/>
      <c r="AJ460" s="58"/>
      <c r="AK460" s="58"/>
    </row>
    <row r="461" ht="14.2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8"/>
      <c r="AG461" s="58"/>
      <c r="AH461" s="58"/>
      <c r="AI461" s="58"/>
      <c r="AJ461" s="58"/>
      <c r="AK461" s="58"/>
    </row>
    <row r="462" ht="14.2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8"/>
      <c r="AG462" s="58"/>
      <c r="AH462" s="58"/>
      <c r="AI462" s="58"/>
      <c r="AJ462" s="58"/>
      <c r="AK462" s="58"/>
    </row>
    <row r="463" ht="14.2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8"/>
      <c r="AG463" s="58"/>
      <c r="AH463" s="58"/>
      <c r="AI463" s="58"/>
      <c r="AJ463" s="58"/>
      <c r="AK463" s="58"/>
    </row>
    <row r="464" ht="14.2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8"/>
      <c r="AG464" s="58"/>
      <c r="AH464" s="58"/>
      <c r="AI464" s="58"/>
      <c r="AJ464" s="58"/>
      <c r="AK464" s="58"/>
    </row>
    <row r="465" ht="14.2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8"/>
      <c r="AG465" s="58"/>
      <c r="AH465" s="58"/>
      <c r="AI465" s="58"/>
      <c r="AJ465" s="58"/>
      <c r="AK465" s="58"/>
    </row>
    <row r="466" ht="14.2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8"/>
      <c r="AG466" s="58"/>
      <c r="AH466" s="58"/>
      <c r="AI466" s="58"/>
      <c r="AJ466" s="58"/>
      <c r="AK466" s="58"/>
    </row>
    <row r="467" ht="14.2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8"/>
      <c r="AG467" s="58"/>
      <c r="AH467" s="58"/>
      <c r="AI467" s="58"/>
      <c r="AJ467" s="58"/>
      <c r="AK467" s="58"/>
    </row>
    <row r="468" ht="14.2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8"/>
      <c r="AG468" s="58"/>
      <c r="AH468" s="58"/>
      <c r="AI468" s="58"/>
      <c r="AJ468" s="58"/>
      <c r="AK468" s="58"/>
    </row>
    <row r="469" ht="14.2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8"/>
      <c r="AG469" s="58"/>
      <c r="AH469" s="58"/>
      <c r="AI469" s="58"/>
      <c r="AJ469" s="58"/>
      <c r="AK469" s="58"/>
    </row>
    <row r="470" ht="14.2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8"/>
      <c r="AG470" s="58"/>
      <c r="AH470" s="58"/>
      <c r="AI470" s="58"/>
      <c r="AJ470" s="58"/>
      <c r="AK470" s="58"/>
    </row>
    <row r="471" ht="14.2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8"/>
      <c r="AG471" s="58"/>
      <c r="AH471" s="58"/>
      <c r="AI471" s="58"/>
      <c r="AJ471" s="58"/>
      <c r="AK471" s="58"/>
    </row>
    <row r="472" ht="14.2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8"/>
      <c r="AG472" s="58"/>
      <c r="AH472" s="58"/>
      <c r="AI472" s="58"/>
      <c r="AJ472" s="58"/>
      <c r="AK472" s="58"/>
    </row>
    <row r="473" ht="14.2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8"/>
      <c r="AG473" s="58"/>
      <c r="AH473" s="58"/>
      <c r="AI473" s="58"/>
      <c r="AJ473" s="58"/>
      <c r="AK473" s="58"/>
    </row>
    <row r="474" ht="14.2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8"/>
      <c r="AG474" s="58"/>
      <c r="AH474" s="58"/>
      <c r="AI474" s="58"/>
      <c r="AJ474" s="58"/>
      <c r="AK474" s="58"/>
    </row>
    <row r="475" ht="14.2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8"/>
      <c r="AG475" s="58"/>
      <c r="AH475" s="58"/>
      <c r="AI475" s="58"/>
      <c r="AJ475" s="58"/>
      <c r="AK475" s="58"/>
    </row>
    <row r="476" ht="14.2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8"/>
      <c r="AG476" s="58"/>
      <c r="AH476" s="58"/>
      <c r="AI476" s="58"/>
      <c r="AJ476" s="58"/>
      <c r="AK476" s="58"/>
    </row>
    <row r="477" ht="14.2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8"/>
      <c r="AG477" s="58"/>
      <c r="AH477" s="58"/>
      <c r="AI477" s="58"/>
      <c r="AJ477" s="58"/>
      <c r="AK477" s="58"/>
    </row>
    <row r="478" ht="14.2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8"/>
      <c r="AG478" s="58"/>
      <c r="AH478" s="58"/>
      <c r="AI478" s="58"/>
      <c r="AJ478" s="58"/>
      <c r="AK478" s="58"/>
    </row>
    <row r="479" ht="14.2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8"/>
      <c r="AG479" s="58"/>
      <c r="AH479" s="58"/>
      <c r="AI479" s="58"/>
      <c r="AJ479" s="58"/>
      <c r="AK479" s="58"/>
    </row>
    <row r="480" ht="14.2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8"/>
      <c r="AG480" s="58"/>
      <c r="AH480" s="58"/>
      <c r="AI480" s="58"/>
      <c r="AJ480" s="58"/>
      <c r="AK480" s="58"/>
    </row>
    <row r="481" ht="14.2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8"/>
      <c r="AG481" s="58"/>
      <c r="AH481" s="58"/>
      <c r="AI481" s="58"/>
      <c r="AJ481" s="58"/>
      <c r="AK481" s="58"/>
    </row>
    <row r="482" ht="14.2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8"/>
      <c r="AG482" s="58"/>
      <c r="AH482" s="58"/>
      <c r="AI482" s="58"/>
      <c r="AJ482" s="58"/>
      <c r="AK482" s="58"/>
    </row>
    <row r="483" ht="14.2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8"/>
      <c r="AG483" s="58"/>
      <c r="AH483" s="58"/>
      <c r="AI483" s="58"/>
      <c r="AJ483" s="58"/>
      <c r="AK483" s="58"/>
    </row>
    <row r="484" ht="14.2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8"/>
      <c r="AG484" s="58"/>
      <c r="AH484" s="58"/>
      <c r="AI484" s="58"/>
      <c r="AJ484" s="58"/>
      <c r="AK484" s="58"/>
    </row>
    <row r="485" ht="14.2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8"/>
      <c r="AG485" s="58"/>
      <c r="AH485" s="58"/>
      <c r="AI485" s="58"/>
      <c r="AJ485" s="58"/>
      <c r="AK485" s="58"/>
    </row>
    <row r="486" ht="14.2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8"/>
      <c r="AG486" s="58"/>
      <c r="AH486" s="58"/>
      <c r="AI486" s="58"/>
      <c r="AJ486" s="58"/>
      <c r="AK486" s="58"/>
    </row>
    <row r="487" ht="14.2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8"/>
      <c r="AG487" s="58"/>
      <c r="AH487" s="58"/>
      <c r="AI487" s="58"/>
      <c r="AJ487" s="58"/>
      <c r="AK487" s="58"/>
    </row>
    <row r="488" ht="14.2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8"/>
      <c r="AG488" s="58"/>
      <c r="AH488" s="58"/>
      <c r="AI488" s="58"/>
      <c r="AJ488" s="58"/>
      <c r="AK488" s="58"/>
    </row>
    <row r="489" ht="14.2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8"/>
      <c r="AG489" s="58"/>
      <c r="AH489" s="58"/>
      <c r="AI489" s="58"/>
      <c r="AJ489" s="58"/>
      <c r="AK489" s="58"/>
    </row>
    <row r="490" ht="14.2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8"/>
      <c r="AG490" s="58"/>
      <c r="AH490" s="58"/>
      <c r="AI490" s="58"/>
      <c r="AJ490" s="58"/>
      <c r="AK490" s="58"/>
    </row>
    <row r="491" ht="14.2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8"/>
      <c r="AG491" s="58"/>
      <c r="AH491" s="58"/>
      <c r="AI491" s="58"/>
      <c r="AJ491" s="58"/>
      <c r="AK491" s="58"/>
    </row>
    <row r="492" ht="14.2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8"/>
      <c r="AG492" s="58"/>
      <c r="AH492" s="58"/>
      <c r="AI492" s="58"/>
      <c r="AJ492" s="58"/>
      <c r="AK492" s="58"/>
    </row>
    <row r="493" ht="14.2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8"/>
      <c r="AG493" s="58"/>
      <c r="AH493" s="58"/>
      <c r="AI493" s="58"/>
      <c r="AJ493" s="58"/>
      <c r="AK493" s="58"/>
    </row>
    <row r="494" ht="14.2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8"/>
      <c r="AG494" s="58"/>
      <c r="AH494" s="58"/>
      <c r="AI494" s="58"/>
      <c r="AJ494" s="58"/>
      <c r="AK494" s="58"/>
    </row>
    <row r="495" ht="14.2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8"/>
      <c r="AG495" s="58"/>
      <c r="AH495" s="58"/>
      <c r="AI495" s="58"/>
      <c r="AJ495" s="58"/>
      <c r="AK495" s="58"/>
    </row>
    <row r="496" ht="14.2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8"/>
      <c r="AG496" s="58"/>
      <c r="AH496" s="58"/>
      <c r="AI496" s="58"/>
      <c r="AJ496" s="58"/>
      <c r="AK496" s="58"/>
    </row>
    <row r="497" ht="14.2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8"/>
      <c r="AG497" s="58"/>
      <c r="AH497" s="58"/>
      <c r="AI497" s="58"/>
      <c r="AJ497" s="58"/>
      <c r="AK497" s="58"/>
    </row>
    <row r="498" ht="14.2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8"/>
      <c r="AG498" s="58"/>
      <c r="AH498" s="58"/>
      <c r="AI498" s="58"/>
      <c r="AJ498" s="58"/>
      <c r="AK498" s="58"/>
    </row>
    <row r="499" ht="14.2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8"/>
      <c r="AG499" s="58"/>
      <c r="AH499" s="58"/>
      <c r="AI499" s="58"/>
      <c r="AJ499" s="58"/>
      <c r="AK499" s="58"/>
    </row>
    <row r="500" ht="14.2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8"/>
      <c r="AG500" s="58"/>
      <c r="AH500" s="58"/>
      <c r="AI500" s="58"/>
      <c r="AJ500" s="58"/>
      <c r="AK500" s="58"/>
    </row>
    <row r="501" ht="14.2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8"/>
      <c r="AG501" s="58"/>
      <c r="AH501" s="58"/>
      <c r="AI501" s="58"/>
      <c r="AJ501" s="58"/>
      <c r="AK501" s="58"/>
    </row>
    <row r="502" ht="14.2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8"/>
      <c r="AG502" s="58"/>
      <c r="AH502" s="58"/>
      <c r="AI502" s="58"/>
      <c r="AJ502" s="58"/>
      <c r="AK502" s="58"/>
    </row>
    <row r="503" ht="14.2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8"/>
      <c r="AG503" s="58"/>
      <c r="AH503" s="58"/>
      <c r="AI503" s="58"/>
      <c r="AJ503" s="58"/>
      <c r="AK503" s="58"/>
    </row>
    <row r="504" ht="14.2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8"/>
      <c r="AG504" s="58"/>
      <c r="AH504" s="58"/>
      <c r="AI504" s="58"/>
      <c r="AJ504" s="58"/>
      <c r="AK504" s="58"/>
    </row>
    <row r="505" ht="14.2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8"/>
      <c r="AG505" s="58"/>
      <c r="AH505" s="58"/>
      <c r="AI505" s="58"/>
      <c r="AJ505" s="58"/>
      <c r="AK505" s="58"/>
    </row>
    <row r="506" ht="14.2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8"/>
      <c r="AG506" s="58"/>
      <c r="AH506" s="58"/>
      <c r="AI506" s="58"/>
      <c r="AJ506" s="58"/>
      <c r="AK506" s="58"/>
    </row>
    <row r="507" ht="14.2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8"/>
      <c r="AG507" s="58"/>
      <c r="AH507" s="58"/>
      <c r="AI507" s="58"/>
      <c r="AJ507" s="58"/>
      <c r="AK507" s="58"/>
    </row>
    <row r="508" ht="14.2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8"/>
      <c r="AG508" s="58"/>
      <c r="AH508" s="58"/>
      <c r="AI508" s="58"/>
      <c r="AJ508" s="58"/>
      <c r="AK508" s="58"/>
    </row>
    <row r="509" ht="14.2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8"/>
      <c r="AG509" s="58"/>
      <c r="AH509" s="58"/>
      <c r="AI509" s="58"/>
      <c r="AJ509" s="58"/>
      <c r="AK509" s="58"/>
    </row>
    <row r="510" ht="14.2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8"/>
      <c r="AG510" s="58"/>
      <c r="AH510" s="58"/>
      <c r="AI510" s="58"/>
      <c r="AJ510" s="58"/>
      <c r="AK510" s="58"/>
    </row>
    <row r="511" ht="14.2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8"/>
      <c r="AG511" s="58"/>
      <c r="AH511" s="58"/>
      <c r="AI511" s="58"/>
      <c r="AJ511" s="58"/>
      <c r="AK511" s="58"/>
    </row>
    <row r="512" ht="14.2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8"/>
      <c r="AG512" s="58"/>
      <c r="AH512" s="58"/>
      <c r="AI512" s="58"/>
      <c r="AJ512" s="58"/>
      <c r="AK512" s="58"/>
    </row>
    <row r="513" ht="14.2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8"/>
      <c r="AG513" s="58"/>
      <c r="AH513" s="58"/>
      <c r="AI513" s="58"/>
      <c r="AJ513" s="58"/>
      <c r="AK513" s="58"/>
    </row>
    <row r="514" ht="14.2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8"/>
      <c r="AG514" s="58"/>
      <c r="AH514" s="58"/>
      <c r="AI514" s="58"/>
      <c r="AJ514" s="58"/>
      <c r="AK514" s="58"/>
    </row>
    <row r="515" ht="14.2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8"/>
      <c r="AG515" s="58"/>
      <c r="AH515" s="58"/>
      <c r="AI515" s="58"/>
      <c r="AJ515" s="58"/>
      <c r="AK515" s="58"/>
    </row>
    <row r="516" ht="14.2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8"/>
      <c r="AG516" s="58"/>
      <c r="AH516" s="58"/>
      <c r="AI516" s="58"/>
      <c r="AJ516" s="58"/>
      <c r="AK516" s="58"/>
    </row>
    <row r="517" ht="14.2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8"/>
      <c r="AG517" s="58"/>
      <c r="AH517" s="58"/>
      <c r="AI517" s="58"/>
      <c r="AJ517" s="58"/>
      <c r="AK517" s="58"/>
    </row>
    <row r="518" ht="14.2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8"/>
      <c r="AG518" s="58"/>
      <c r="AH518" s="58"/>
      <c r="AI518" s="58"/>
      <c r="AJ518" s="58"/>
      <c r="AK518" s="58"/>
    </row>
    <row r="519" ht="14.2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8"/>
      <c r="AG519" s="58"/>
      <c r="AH519" s="58"/>
      <c r="AI519" s="58"/>
      <c r="AJ519" s="58"/>
      <c r="AK519" s="58"/>
    </row>
    <row r="520" ht="14.2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8"/>
      <c r="AG520" s="58"/>
      <c r="AH520" s="58"/>
      <c r="AI520" s="58"/>
      <c r="AJ520" s="58"/>
      <c r="AK520" s="58"/>
    </row>
    <row r="521" ht="14.2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8"/>
      <c r="AG521" s="58"/>
      <c r="AH521" s="58"/>
      <c r="AI521" s="58"/>
      <c r="AJ521" s="58"/>
      <c r="AK521" s="58"/>
    </row>
    <row r="522" ht="14.2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8"/>
      <c r="AG522" s="58"/>
      <c r="AH522" s="58"/>
      <c r="AI522" s="58"/>
      <c r="AJ522" s="58"/>
      <c r="AK522" s="58"/>
    </row>
    <row r="523" ht="14.2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8"/>
      <c r="AG523" s="58"/>
      <c r="AH523" s="58"/>
      <c r="AI523" s="58"/>
      <c r="AJ523" s="58"/>
      <c r="AK523" s="58"/>
    </row>
    <row r="524" ht="14.2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8"/>
      <c r="AG524" s="58"/>
      <c r="AH524" s="58"/>
      <c r="AI524" s="58"/>
      <c r="AJ524" s="58"/>
      <c r="AK524" s="58"/>
    </row>
    <row r="525" ht="14.2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8"/>
      <c r="AG525" s="58"/>
      <c r="AH525" s="58"/>
      <c r="AI525" s="58"/>
      <c r="AJ525" s="58"/>
      <c r="AK525" s="58"/>
    </row>
    <row r="526" ht="14.2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8"/>
      <c r="AG526" s="58"/>
      <c r="AH526" s="58"/>
      <c r="AI526" s="58"/>
      <c r="AJ526" s="58"/>
      <c r="AK526" s="58"/>
    </row>
    <row r="527" ht="14.2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8"/>
      <c r="AG527" s="58"/>
      <c r="AH527" s="58"/>
      <c r="AI527" s="58"/>
      <c r="AJ527" s="58"/>
      <c r="AK527" s="58"/>
    </row>
    <row r="528" ht="14.2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8"/>
      <c r="AG528" s="58"/>
      <c r="AH528" s="58"/>
      <c r="AI528" s="58"/>
      <c r="AJ528" s="58"/>
      <c r="AK528" s="58"/>
    </row>
    <row r="529" ht="14.2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8"/>
      <c r="AG529" s="58"/>
      <c r="AH529" s="58"/>
      <c r="AI529" s="58"/>
      <c r="AJ529" s="58"/>
      <c r="AK529" s="58"/>
    </row>
    <row r="530" ht="14.2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8"/>
      <c r="AG530" s="58"/>
      <c r="AH530" s="58"/>
      <c r="AI530" s="58"/>
      <c r="AJ530" s="58"/>
      <c r="AK530" s="58"/>
    </row>
    <row r="531" ht="14.2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8"/>
      <c r="AG531" s="58"/>
      <c r="AH531" s="58"/>
      <c r="AI531" s="58"/>
      <c r="AJ531" s="58"/>
      <c r="AK531" s="58"/>
    </row>
    <row r="532" ht="14.2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8"/>
      <c r="AG532" s="58"/>
      <c r="AH532" s="58"/>
      <c r="AI532" s="58"/>
      <c r="AJ532" s="58"/>
      <c r="AK532" s="58"/>
    </row>
    <row r="533" ht="14.2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8"/>
      <c r="AG533" s="58"/>
      <c r="AH533" s="58"/>
      <c r="AI533" s="58"/>
      <c r="AJ533" s="58"/>
      <c r="AK533" s="58"/>
    </row>
    <row r="534" ht="14.2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8"/>
      <c r="AG534" s="58"/>
      <c r="AH534" s="58"/>
      <c r="AI534" s="58"/>
      <c r="AJ534" s="58"/>
      <c r="AK534" s="58"/>
    </row>
    <row r="535" ht="14.2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8"/>
      <c r="AG535" s="58"/>
      <c r="AH535" s="58"/>
      <c r="AI535" s="58"/>
      <c r="AJ535" s="58"/>
      <c r="AK535" s="58"/>
    </row>
    <row r="536" ht="14.2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8"/>
      <c r="AG536" s="58"/>
      <c r="AH536" s="58"/>
      <c r="AI536" s="58"/>
      <c r="AJ536" s="58"/>
      <c r="AK536" s="58"/>
    </row>
    <row r="537" ht="14.2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8"/>
      <c r="AG537" s="58"/>
      <c r="AH537" s="58"/>
      <c r="AI537" s="58"/>
      <c r="AJ537" s="58"/>
      <c r="AK537" s="58"/>
    </row>
    <row r="538" ht="14.2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8"/>
      <c r="AG538" s="58"/>
      <c r="AH538" s="58"/>
      <c r="AI538" s="58"/>
      <c r="AJ538" s="58"/>
      <c r="AK538" s="58"/>
    </row>
    <row r="539" ht="14.2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8"/>
      <c r="AG539" s="58"/>
      <c r="AH539" s="58"/>
      <c r="AI539" s="58"/>
      <c r="AJ539" s="58"/>
      <c r="AK539" s="58"/>
    </row>
    <row r="540" ht="14.2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8"/>
      <c r="AG540" s="58"/>
      <c r="AH540" s="58"/>
      <c r="AI540" s="58"/>
      <c r="AJ540" s="58"/>
      <c r="AK540" s="58"/>
    </row>
    <row r="541" ht="14.2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8"/>
      <c r="AG541" s="58"/>
      <c r="AH541" s="58"/>
      <c r="AI541" s="58"/>
      <c r="AJ541" s="58"/>
      <c r="AK541" s="58"/>
    </row>
    <row r="542" ht="14.2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8"/>
      <c r="AG542" s="58"/>
      <c r="AH542" s="58"/>
      <c r="AI542" s="58"/>
      <c r="AJ542" s="58"/>
      <c r="AK542" s="58"/>
    </row>
    <row r="543" ht="14.2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8"/>
      <c r="AG543" s="58"/>
      <c r="AH543" s="58"/>
      <c r="AI543" s="58"/>
      <c r="AJ543" s="58"/>
      <c r="AK543" s="58"/>
    </row>
    <row r="544" ht="14.2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8"/>
      <c r="AG544" s="58"/>
      <c r="AH544" s="58"/>
      <c r="AI544" s="58"/>
      <c r="AJ544" s="58"/>
      <c r="AK544" s="58"/>
    </row>
    <row r="545" ht="14.2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8"/>
      <c r="AG545" s="58"/>
      <c r="AH545" s="58"/>
      <c r="AI545" s="58"/>
      <c r="AJ545" s="58"/>
      <c r="AK545" s="58"/>
    </row>
    <row r="546" ht="14.2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8"/>
      <c r="AG546" s="58"/>
      <c r="AH546" s="58"/>
      <c r="AI546" s="58"/>
      <c r="AJ546" s="58"/>
      <c r="AK546" s="58"/>
    </row>
    <row r="547" ht="14.2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8"/>
      <c r="AG547" s="58"/>
      <c r="AH547" s="58"/>
      <c r="AI547" s="58"/>
      <c r="AJ547" s="58"/>
      <c r="AK547" s="58"/>
    </row>
    <row r="548" ht="14.2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8"/>
      <c r="AG548" s="58"/>
      <c r="AH548" s="58"/>
      <c r="AI548" s="58"/>
      <c r="AJ548" s="58"/>
      <c r="AK548" s="58"/>
    </row>
    <row r="549" ht="14.2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8"/>
      <c r="AG549" s="58"/>
      <c r="AH549" s="58"/>
      <c r="AI549" s="58"/>
      <c r="AJ549" s="58"/>
      <c r="AK549" s="58"/>
    </row>
    <row r="550" ht="14.2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8"/>
      <c r="AG550" s="58"/>
      <c r="AH550" s="58"/>
      <c r="AI550" s="58"/>
      <c r="AJ550" s="58"/>
      <c r="AK550" s="58"/>
    </row>
    <row r="551" ht="14.2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8"/>
      <c r="AG551" s="58"/>
      <c r="AH551" s="58"/>
      <c r="AI551" s="58"/>
      <c r="AJ551" s="58"/>
      <c r="AK551" s="58"/>
    </row>
    <row r="552" ht="14.2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8"/>
      <c r="AG552" s="58"/>
      <c r="AH552" s="58"/>
      <c r="AI552" s="58"/>
      <c r="AJ552" s="58"/>
      <c r="AK552" s="58"/>
    </row>
    <row r="553" ht="14.2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8"/>
      <c r="AG553" s="58"/>
      <c r="AH553" s="58"/>
      <c r="AI553" s="58"/>
      <c r="AJ553" s="58"/>
      <c r="AK553" s="58"/>
    </row>
    <row r="554" ht="14.2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8"/>
      <c r="AG554" s="58"/>
      <c r="AH554" s="58"/>
      <c r="AI554" s="58"/>
      <c r="AJ554" s="58"/>
      <c r="AK554" s="58"/>
    </row>
    <row r="555" ht="14.2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8"/>
      <c r="AG555" s="58"/>
      <c r="AH555" s="58"/>
      <c r="AI555" s="58"/>
      <c r="AJ555" s="58"/>
      <c r="AK555" s="58"/>
    </row>
    <row r="556" ht="14.2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8"/>
      <c r="AG556" s="58"/>
      <c r="AH556" s="58"/>
      <c r="AI556" s="58"/>
      <c r="AJ556" s="58"/>
      <c r="AK556" s="58"/>
    </row>
    <row r="557" ht="14.2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8"/>
      <c r="AG557" s="58"/>
      <c r="AH557" s="58"/>
      <c r="AI557" s="58"/>
      <c r="AJ557" s="58"/>
      <c r="AK557" s="58"/>
    </row>
    <row r="558" ht="14.2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8"/>
      <c r="AG558" s="58"/>
      <c r="AH558" s="58"/>
      <c r="AI558" s="58"/>
      <c r="AJ558" s="58"/>
      <c r="AK558" s="58"/>
    </row>
    <row r="559" ht="14.2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8"/>
      <c r="AG559" s="58"/>
      <c r="AH559" s="58"/>
      <c r="AI559" s="58"/>
      <c r="AJ559" s="58"/>
      <c r="AK559" s="58"/>
    </row>
    <row r="560" ht="14.2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8"/>
      <c r="AG560" s="58"/>
      <c r="AH560" s="58"/>
      <c r="AI560" s="58"/>
      <c r="AJ560" s="58"/>
      <c r="AK560" s="58"/>
    </row>
    <row r="561" ht="14.2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8"/>
      <c r="AG561" s="58"/>
      <c r="AH561" s="58"/>
      <c r="AI561" s="58"/>
      <c r="AJ561" s="58"/>
      <c r="AK561" s="58"/>
    </row>
    <row r="562" ht="14.2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8"/>
      <c r="AG562" s="58"/>
      <c r="AH562" s="58"/>
      <c r="AI562" s="58"/>
      <c r="AJ562" s="58"/>
      <c r="AK562" s="58"/>
    </row>
    <row r="563" ht="14.2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8"/>
      <c r="AG563" s="58"/>
      <c r="AH563" s="58"/>
      <c r="AI563" s="58"/>
      <c r="AJ563" s="58"/>
      <c r="AK563" s="58"/>
    </row>
    <row r="564" ht="14.2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8"/>
      <c r="AG564" s="58"/>
      <c r="AH564" s="58"/>
      <c r="AI564" s="58"/>
      <c r="AJ564" s="58"/>
      <c r="AK564" s="58"/>
    </row>
    <row r="565" ht="14.2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8"/>
      <c r="AG565" s="58"/>
      <c r="AH565" s="58"/>
      <c r="AI565" s="58"/>
      <c r="AJ565" s="58"/>
      <c r="AK565" s="58"/>
    </row>
    <row r="566" ht="14.2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8"/>
      <c r="AG566" s="58"/>
      <c r="AH566" s="58"/>
      <c r="AI566" s="58"/>
      <c r="AJ566" s="58"/>
      <c r="AK566" s="58"/>
    </row>
    <row r="567" ht="14.2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8"/>
      <c r="AG567" s="58"/>
      <c r="AH567" s="58"/>
      <c r="AI567" s="58"/>
      <c r="AJ567" s="58"/>
      <c r="AK567" s="58"/>
    </row>
    <row r="568" ht="14.2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8"/>
      <c r="AG568" s="58"/>
      <c r="AH568" s="58"/>
      <c r="AI568" s="58"/>
      <c r="AJ568" s="58"/>
      <c r="AK568" s="58"/>
    </row>
    <row r="569" ht="14.2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8"/>
      <c r="AG569" s="58"/>
      <c r="AH569" s="58"/>
      <c r="AI569" s="58"/>
      <c r="AJ569" s="58"/>
      <c r="AK569" s="58"/>
    </row>
    <row r="570" ht="14.2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8"/>
      <c r="AG570" s="58"/>
      <c r="AH570" s="58"/>
      <c r="AI570" s="58"/>
      <c r="AJ570" s="58"/>
      <c r="AK570" s="58"/>
    </row>
    <row r="571" ht="14.2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8"/>
      <c r="AG571" s="58"/>
      <c r="AH571" s="58"/>
      <c r="AI571" s="58"/>
      <c r="AJ571" s="58"/>
      <c r="AK571" s="58"/>
    </row>
    <row r="572" ht="14.2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8"/>
      <c r="AG572" s="58"/>
      <c r="AH572" s="58"/>
      <c r="AI572" s="58"/>
      <c r="AJ572" s="58"/>
      <c r="AK572" s="58"/>
    </row>
    <row r="573" ht="14.2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8"/>
      <c r="AG573" s="58"/>
      <c r="AH573" s="58"/>
      <c r="AI573" s="58"/>
      <c r="AJ573" s="58"/>
      <c r="AK573" s="58"/>
    </row>
    <row r="574" ht="14.2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8"/>
      <c r="AG574" s="58"/>
      <c r="AH574" s="58"/>
      <c r="AI574" s="58"/>
      <c r="AJ574" s="58"/>
      <c r="AK574" s="58"/>
    </row>
    <row r="575" ht="14.2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8"/>
      <c r="AG575" s="58"/>
      <c r="AH575" s="58"/>
      <c r="AI575" s="58"/>
      <c r="AJ575" s="58"/>
      <c r="AK575" s="58"/>
    </row>
    <row r="576" ht="14.2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8"/>
      <c r="AG576" s="58"/>
      <c r="AH576" s="58"/>
      <c r="AI576" s="58"/>
      <c r="AJ576" s="58"/>
      <c r="AK576" s="58"/>
    </row>
    <row r="577" ht="14.2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8"/>
      <c r="AG577" s="58"/>
      <c r="AH577" s="58"/>
      <c r="AI577" s="58"/>
      <c r="AJ577" s="58"/>
      <c r="AK577" s="58"/>
    </row>
    <row r="578" ht="14.2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8"/>
      <c r="AG578" s="58"/>
      <c r="AH578" s="58"/>
      <c r="AI578" s="58"/>
      <c r="AJ578" s="58"/>
      <c r="AK578" s="58"/>
    </row>
    <row r="579" ht="14.2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8"/>
      <c r="AG579" s="58"/>
      <c r="AH579" s="58"/>
      <c r="AI579" s="58"/>
      <c r="AJ579" s="58"/>
      <c r="AK579" s="58"/>
    </row>
    <row r="580" ht="14.2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8"/>
      <c r="AG580" s="58"/>
      <c r="AH580" s="58"/>
      <c r="AI580" s="58"/>
      <c r="AJ580" s="58"/>
      <c r="AK580" s="58"/>
    </row>
    <row r="581" ht="14.2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8"/>
      <c r="AG581" s="58"/>
      <c r="AH581" s="58"/>
      <c r="AI581" s="58"/>
      <c r="AJ581" s="58"/>
      <c r="AK581" s="58"/>
    </row>
    <row r="582" ht="14.2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8"/>
      <c r="AG582" s="58"/>
      <c r="AH582" s="58"/>
      <c r="AI582" s="58"/>
      <c r="AJ582" s="58"/>
      <c r="AK582" s="58"/>
    </row>
    <row r="583" ht="14.2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8"/>
      <c r="AG583" s="58"/>
      <c r="AH583" s="58"/>
      <c r="AI583" s="58"/>
      <c r="AJ583" s="58"/>
      <c r="AK583" s="58"/>
    </row>
    <row r="584" ht="14.2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8"/>
      <c r="AG584" s="58"/>
      <c r="AH584" s="58"/>
      <c r="AI584" s="58"/>
      <c r="AJ584" s="58"/>
      <c r="AK584" s="58"/>
    </row>
    <row r="585" ht="14.2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8"/>
      <c r="AG585" s="58"/>
      <c r="AH585" s="58"/>
      <c r="AI585" s="58"/>
      <c r="AJ585" s="58"/>
      <c r="AK585" s="58"/>
    </row>
    <row r="586" ht="14.2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8"/>
      <c r="AG586" s="58"/>
      <c r="AH586" s="58"/>
      <c r="AI586" s="58"/>
      <c r="AJ586" s="58"/>
      <c r="AK586" s="58"/>
    </row>
    <row r="587" ht="14.2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8"/>
      <c r="AG587" s="58"/>
      <c r="AH587" s="58"/>
      <c r="AI587" s="58"/>
      <c r="AJ587" s="58"/>
      <c r="AK587" s="58"/>
    </row>
    <row r="588" ht="14.2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8"/>
      <c r="AG588" s="58"/>
      <c r="AH588" s="58"/>
      <c r="AI588" s="58"/>
      <c r="AJ588" s="58"/>
      <c r="AK588" s="58"/>
    </row>
    <row r="589" ht="14.2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8"/>
      <c r="AG589" s="58"/>
      <c r="AH589" s="58"/>
      <c r="AI589" s="58"/>
      <c r="AJ589" s="58"/>
      <c r="AK589" s="58"/>
    </row>
    <row r="590" ht="14.2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8"/>
      <c r="AG590" s="58"/>
      <c r="AH590" s="58"/>
      <c r="AI590" s="58"/>
      <c r="AJ590" s="58"/>
      <c r="AK590" s="58"/>
    </row>
    <row r="591" ht="14.2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8"/>
      <c r="AG591" s="58"/>
      <c r="AH591" s="58"/>
      <c r="AI591" s="58"/>
      <c r="AJ591" s="58"/>
      <c r="AK591" s="58"/>
    </row>
    <row r="592" ht="14.2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8"/>
      <c r="AG592" s="58"/>
      <c r="AH592" s="58"/>
      <c r="AI592" s="58"/>
      <c r="AJ592" s="58"/>
      <c r="AK592" s="58"/>
    </row>
    <row r="593" ht="14.2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8"/>
      <c r="AG593" s="58"/>
      <c r="AH593" s="58"/>
      <c r="AI593" s="58"/>
      <c r="AJ593" s="58"/>
      <c r="AK593" s="58"/>
    </row>
    <row r="594" ht="14.2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8"/>
      <c r="AG594" s="58"/>
      <c r="AH594" s="58"/>
      <c r="AI594" s="58"/>
      <c r="AJ594" s="58"/>
      <c r="AK594" s="58"/>
    </row>
    <row r="595" ht="14.2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8"/>
      <c r="AG595" s="58"/>
      <c r="AH595" s="58"/>
      <c r="AI595" s="58"/>
      <c r="AJ595" s="58"/>
      <c r="AK595" s="58"/>
    </row>
    <row r="596" ht="14.2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8"/>
      <c r="AG596" s="58"/>
      <c r="AH596" s="58"/>
      <c r="AI596" s="58"/>
      <c r="AJ596" s="58"/>
      <c r="AK596" s="58"/>
    </row>
    <row r="597" ht="14.2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8"/>
      <c r="AG597" s="58"/>
      <c r="AH597" s="58"/>
      <c r="AI597" s="58"/>
      <c r="AJ597" s="58"/>
      <c r="AK597" s="58"/>
    </row>
    <row r="598" ht="14.2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8"/>
      <c r="AG598" s="58"/>
      <c r="AH598" s="58"/>
      <c r="AI598" s="58"/>
      <c r="AJ598" s="58"/>
      <c r="AK598" s="58"/>
    </row>
    <row r="599" ht="14.2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8"/>
      <c r="AG599" s="58"/>
      <c r="AH599" s="58"/>
      <c r="AI599" s="58"/>
      <c r="AJ599" s="58"/>
      <c r="AK599" s="58"/>
    </row>
    <row r="600" ht="14.2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8"/>
      <c r="AG600" s="58"/>
      <c r="AH600" s="58"/>
      <c r="AI600" s="58"/>
      <c r="AJ600" s="58"/>
      <c r="AK600" s="58"/>
    </row>
    <row r="601" ht="14.2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8"/>
      <c r="AG601" s="58"/>
      <c r="AH601" s="58"/>
      <c r="AI601" s="58"/>
      <c r="AJ601" s="58"/>
      <c r="AK601" s="58"/>
    </row>
    <row r="602" ht="14.2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8"/>
      <c r="AG602" s="58"/>
      <c r="AH602" s="58"/>
      <c r="AI602" s="58"/>
      <c r="AJ602" s="58"/>
      <c r="AK602" s="58"/>
    </row>
    <row r="603" ht="14.2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8"/>
      <c r="AG603" s="58"/>
      <c r="AH603" s="58"/>
      <c r="AI603" s="58"/>
      <c r="AJ603" s="58"/>
      <c r="AK603" s="58"/>
    </row>
    <row r="604" ht="14.2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8"/>
      <c r="AG604" s="58"/>
      <c r="AH604" s="58"/>
      <c r="AI604" s="58"/>
      <c r="AJ604" s="58"/>
      <c r="AK604" s="58"/>
    </row>
    <row r="605" ht="14.2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8"/>
      <c r="AG605" s="58"/>
      <c r="AH605" s="58"/>
      <c r="AI605" s="58"/>
      <c r="AJ605" s="58"/>
      <c r="AK605" s="58"/>
    </row>
    <row r="606" ht="14.2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8"/>
      <c r="AG606" s="58"/>
      <c r="AH606" s="58"/>
      <c r="AI606" s="58"/>
      <c r="AJ606" s="58"/>
      <c r="AK606" s="58"/>
    </row>
    <row r="607" ht="14.2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8"/>
      <c r="AG607" s="58"/>
      <c r="AH607" s="58"/>
      <c r="AI607" s="58"/>
      <c r="AJ607" s="58"/>
      <c r="AK607" s="58"/>
    </row>
    <row r="608" ht="14.2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8"/>
      <c r="AG608" s="58"/>
      <c r="AH608" s="58"/>
      <c r="AI608" s="58"/>
      <c r="AJ608" s="58"/>
      <c r="AK608" s="58"/>
    </row>
    <row r="609" ht="14.2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8"/>
      <c r="AG609" s="58"/>
      <c r="AH609" s="58"/>
      <c r="AI609" s="58"/>
      <c r="AJ609" s="58"/>
      <c r="AK609" s="58"/>
    </row>
    <row r="610" ht="14.2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8"/>
      <c r="AG610" s="58"/>
      <c r="AH610" s="58"/>
      <c r="AI610" s="58"/>
      <c r="AJ610" s="58"/>
      <c r="AK610" s="58"/>
    </row>
    <row r="611" ht="14.2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8"/>
      <c r="AG611" s="58"/>
      <c r="AH611" s="58"/>
      <c r="AI611" s="58"/>
      <c r="AJ611" s="58"/>
      <c r="AK611" s="58"/>
    </row>
    <row r="612" ht="14.2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8"/>
      <c r="AG612" s="58"/>
      <c r="AH612" s="58"/>
      <c r="AI612" s="58"/>
      <c r="AJ612" s="58"/>
      <c r="AK612" s="58"/>
    </row>
    <row r="613" ht="14.2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8"/>
      <c r="AG613" s="58"/>
      <c r="AH613" s="58"/>
      <c r="AI613" s="58"/>
      <c r="AJ613" s="58"/>
      <c r="AK613" s="58"/>
    </row>
    <row r="614" ht="14.2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8"/>
      <c r="AG614" s="58"/>
      <c r="AH614" s="58"/>
      <c r="AI614" s="58"/>
      <c r="AJ614" s="58"/>
      <c r="AK614" s="58"/>
    </row>
    <row r="615" ht="14.2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8"/>
      <c r="AG615" s="58"/>
      <c r="AH615" s="58"/>
      <c r="AI615" s="58"/>
      <c r="AJ615" s="58"/>
      <c r="AK615" s="58"/>
    </row>
    <row r="616" ht="14.2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8"/>
      <c r="AG616" s="58"/>
      <c r="AH616" s="58"/>
      <c r="AI616" s="58"/>
      <c r="AJ616" s="58"/>
      <c r="AK616" s="58"/>
    </row>
    <row r="617" ht="14.2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8"/>
      <c r="AG617" s="58"/>
      <c r="AH617" s="58"/>
      <c r="AI617" s="58"/>
      <c r="AJ617" s="58"/>
      <c r="AK617" s="58"/>
    </row>
    <row r="618" ht="14.2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8"/>
      <c r="AG618" s="58"/>
      <c r="AH618" s="58"/>
      <c r="AI618" s="58"/>
      <c r="AJ618" s="58"/>
      <c r="AK618" s="58"/>
    </row>
    <row r="619" ht="14.2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8"/>
      <c r="AG619" s="58"/>
      <c r="AH619" s="58"/>
      <c r="AI619" s="58"/>
      <c r="AJ619" s="58"/>
      <c r="AK619" s="58"/>
    </row>
    <row r="620" ht="14.2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8"/>
      <c r="AG620" s="58"/>
      <c r="AH620" s="58"/>
      <c r="AI620" s="58"/>
      <c r="AJ620" s="58"/>
      <c r="AK620" s="58"/>
    </row>
    <row r="621" ht="14.2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8"/>
      <c r="AG621" s="58"/>
      <c r="AH621" s="58"/>
      <c r="AI621" s="58"/>
      <c r="AJ621" s="58"/>
      <c r="AK621" s="58"/>
    </row>
    <row r="622" ht="14.2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8"/>
      <c r="AG622" s="58"/>
      <c r="AH622" s="58"/>
      <c r="AI622" s="58"/>
      <c r="AJ622" s="58"/>
      <c r="AK622" s="58"/>
    </row>
    <row r="623" ht="14.2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8"/>
      <c r="AG623" s="58"/>
      <c r="AH623" s="58"/>
      <c r="AI623" s="58"/>
      <c r="AJ623" s="58"/>
      <c r="AK623" s="58"/>
    </row>
    <row r="624" ht="14.2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8"/>
      <c r="AG624" s="58"/>
      <c r="AH624" s="58"/>
      <c r="AI624" s="58"/>
      <c r="AJ624" s="58"/>
      <c r="AK624" s="58"/>
    </row>
    <row r="625" ht="14.2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8"/>
      <c r="AG625" s="58"/>
      <c r="AH625" s="58"/>
      <c r="AI625" s="58"/>
      <c r="AJ625" s="58"/>
      <c r="AK625" s="58"/>
    </row>
    <row r="626" ht="14.2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8"/>
      <c r="AG626" s="58"/>
      <c r="AH626" s="58"/>
      <c r="AI626" s="58"/>
      <c r="AJ626" s="58"/>
      <c r="AK626" s="58"/>
    </row>
    <row r="627" ht="14.2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8"/>
      <c r="AG627" s="58"/>
      <c r="AH627" s="58"/>
      <c r="AI627" s="58"/>
      <c r="AJ627" s="58"/>
      <c r="AK627" s="58"/>
    </row>
    <row r="628" ht="14.2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8"/>
      <c r="AG628" s="58"/>
      <c r="AH628" s="58"/>
      <c r="AI628" s="58"/>
      <c r="AJ628" s="58"/>
      <c r="AK628" s="58"/>
    </row>
    <row r="629" ht="14.2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8"/>
      <c r="AG629" s="58"/>
      <c r="AH629" s="58"/>
      <c r="AI629" s="58"/>
      <c r="AJ629" s="58"/>
      <c r="AK629" s="58"/>
    </row>
    <row r="630" ht="14.2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8"/>
      <c r="AG630" s="58"/>
      <c r="AH630" s="58"/>
      <c r="AI630" s="58"/>
      <c r="AJ630" s="58"/>
      <c r="AK630" s="58"/>
    </row>
    <row r="631" ht="14.2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8"/>
      <c r="AG631" s="58"/>
      <c r="AH631" s="58"/>
      <c r="AI631" s="58"/>
      <c r="AJ631" s="58"/>
      <c r="AK631" s="58"/>
    </row>
    <row r="632" ht="14.2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8"/>
      <c r="AG632" s="58"/>
      <c r="AH632" s="58"/>
      <c r="AI632" s="58"/>
      <c r="AJ632" s="58"/>
      <c r="AK632" s="58"/>
    </row>
    <row r="633" ht="14.2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8"/>
      <c r="AG633" s="58"/>
      <c r="AH633" s="58"/>
      <c r="AI633" s="58"/>
      <c r="AJ633" s="58"/>
      <c r="AK633" s="58"/>
    </row>
    <row r="634" ht="14.2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8"/>
      <c r="AG634" s="58"/>
      <c r="AH634" s="58"/>
      <c r="AI634" s="58"/>
      <c r="AJ634" s="58"/>
      <c r="AK634" s="58"/>
    </row>
    <row r="635" ht="14.2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8"/>
      <c r="AG635" s="58"/>
      <c r="AH635" s="58"/>
      <c r="AI635" s="58"/>
      <c r="AJ635" s="58"/>
      <c r="AK635" s="58"/>
    </row>
    <row r="636" ht="14.2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8"/>
      <c r="AG636" s="58"/>
      <c r="AH636" s="58"/>
      <c r="AI636" s="58"/>
      <c r="AJ636" s="58"/>
      <c r="AK636" s="58"/>
    </row>
    <row r="637" ht="14.2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8"/>
      <c r="AG637" s="58"/>
      <c r="AH637" s="58"/>
      <c r="AI637" s="58"/>
      <c r="AJ637" s="58"/>
      <c r="AK637" s="58"/>
    </row>
    <row r="638" ht="14.2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8"/>
      <c r="AG638" s="58"/>
      <c r="AH638" s="58"/>
      <c r="AI638" s="58"/>
      <c r="AJ638" s="58"/>
      <c r="AK638" s="58"/>
    </row>
    <row r="639" ht="14.2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8"/>
      <c r="AG639" s="58"/>
      <c r="AH639" s="58"/>
      <c r="AI639" s="58"/>
      <c r="AJ639" s="58"/>
      <c r="AK639" s="58"/>
    </row>
    <row r="640" ht="14.2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8"/>
      <c r="AG640" s="58"/>
      <c r="AH640" s="58"/>
      <c r="AI640" s="58"/>
      <c r="AJ640" s="58"/>
      <c r="AK640" s="58"/>
    </row>
    <row r="641" ht="14.2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8"/>
      <c r="AG641" s="58"/>
      <c r="AH641" s="58"/>
      <c r="AI641" s="58"/>
      <c r="AJ641" s="58"/>
      <c r="AK641" s="58"/>
    </row>
    <row r="642" ht="14.2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8"/>
      <c r="AG642" s="58"/>
      <c r="AH642" s="58"/>
      <c r="AI642" s="58"/>
      <c r="AJ642" s="58"/>
      <c r="AK642" s="58"/>
    </row>
    <row r="643" ht="14.2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8"/>
      <c r="AG643" s="58"/>
      <c r="AH643" s="58"/>
      <c r="AI643" s="58"/>
      <c r="AJ643" s="58"/>
      <c r="AK643" s="58"/>
    </row>
    <row r="644" ht="14.2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8"/>
      <c r="AG644" s="58"/>
      <c r="AH644" s="58"/>
      <c r="AI644" s="58"/>
      <c r="AJ644" s="58"/>
      <c r="AK644" s="58"/>
    </row>
    <row r="645" ht="14.2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8"/>
      <c r="AG645" s="58"/>
      <c r="AH645" s="58"/>
      <c r="AI645" s="58"/>
      <c r="AJ645" s="58"/>
      <c r="AK645" s="58"/>
    </row>
    <row r="646" ht="14.2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8"/>
      <c r="AG646" s="58"/>
      <c r="AH646" s="58"/>
      <c r="AI646" s="58"/>
      <c r="AJ646" s="58"/>
      <c r="AK646" s="58"/>
    </row>
    <row r="647" ht="14.2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8"/>
      <c r="AG647" s="58"/>
      <c r="AH647" s="58"/>
      <c r="AI647" s="58"/>
      <c r="AJ647" s="58"/>
      <c r="AK647" s="58"/>
    </row>
    <row r="648" ht="14.2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8"/>
      <c r="AG648" s="58"/>
      <c r="AH648" s="58"/>
      <c r="AI648" s="58"/>
      <c r="AJ648" s="58"/>
      <c r="AK648" s="58"/>
    </row>
    <row r="649" ht="14.2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8"/>
      <c r="AG649" s="58"/>
      <c r="AH649" s="58"/>
      <c r="AI649" s="58"/>
      <c r="AJ649" s="58"/>
      <c r="AK649" s="58"/>
    </row>
    <row r="650" ht="14.2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8"/>
      <c r="AG650" s="58"/>
      <c r="AH650" s="58"/>
      <c r="AI650" s="58"/>
      <c r="AJ650" s="58"/>
      <c r="AK650" s="58"/>
    </row>
    <row r="651" ht="14.2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8"/>
      <c r="AG651" s="58"/>
      <c r="AH651" s="58"/>
      <c r="AI651" s="58"/>
      <c r="AJ651" s="58"/>
      <c r="AK651" s="58"/>
    </row>
    <row r="652" ht="14.2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8"/>
      <c r="AG652" s="58"/>
      <c r="AH652" s="58"/>
      <c r="AI652" s="58"/>
      <c r="AJ652" s="58"/>
      <c r="AK652" s="58"/>
    </row>
    <row r="653" ht="14.2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8"/>
      <c r="AG653" s="58"/>
      <c r="AH653" s="58"/>
      <c r="AI653" s="58"/>
      <c r="AJ653" s="58"/>
      <c r="AK653" s="58"/>
    </row>
    <row r="654" ht="14.2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8"/>
      <c r="AG654" s="58"/>
      <c r="AH654" s="58"/>
      <c r="AI654" s="58"/>
      <c r="AJ654" s="58"/>
      <c r="AK654" s="58"/>
    </row>
    <row r="655" ht="14.2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8"/>
      <c r="AG655" s="58"/>
      <c r="AH655" s="58"/>
      <c r="AI655" s="58"/>
      <c r="AJ655" s="58"/>
      <c r="AK655" s="58"/>
    </row>
    <row r="656" ht="14.2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8"/>
      <c r="AG656" s="58"/>
      <c r="AH656" s="58"/>
      <c r="AI656" s="58"/>
      <c r="AJ656" s="58"/>
      <c r="AK656" s="58"/>
    </row>
    <row r="657" ht="14.2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8"/>
      <c r="AG657" s="58"/>
      <c r="AH657" s="58"/>
      <c r="AI657" s="58"/>
      <c r="AJ657" s="58"/>
      <c r="AK657" s="58"/>
    </row>
    <row r="658" ht="14.2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8"/>
      <c r="AG658" s="58"/>
      <c r="AH658" s="58"/>
      <c r="AI658" s="58"/>
      <c r="AJ658" s="58"/>
      <c r="AK658" s="58"/>
    </row>
    <row r="659" ht="14.2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8"/>
      <c r="AG659" s="58"/>
      <c r="AH659" s="58"/>
      <c r="AI659" s="58"/>
      <c r="AJ659" s="58"/>
      <c r="AK659" s="58"/>
    </row>
    <row r="660" ht="14.2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8"/>
      <c r="AG660" s="58"/>
      <c r="AH660" s="58"/>
      <c r="AI660" s="58"/>
      <c r="AJ660" s="58"/>
      <c r="AK660" s="58"/>
    </row>
    <row r="661" ht="14.2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8"/>
      <c r="AG661" s="58"/>
      <c r="AH661" s="58"/>
      <c r="AI661" s="58"/>
      <c r="AJ661" s="58"/>
      <c r="AK661" s="58"/>
    </row>
    <row r="662" ht="14.2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8"/>
      <c r="AG662" s="58"/>
      <c r="AH662" s="58"/>
      <c r="AI662" s="58"/>
      <c r="AJ662" s="58"/>
      <c r="AK662" s="58"/>
    </row>
    <row r="663" ht="14.2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8"/>
      <c r="AG663" s="58"/>
      <c r="AH663" s="58"/>
      <c r="AI663" s="58"/>
      <c r="AJ663" s="58"/>
      <c r="AK663" s="58"/>
    </row>
    <row r="664" ht="14.2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8"/>
      <c r="AG664" s="58"/>
      <c r="AH664" s="58"/>
      <c r="AI664" s="58"/>
      <c r="AJ664" s="58"/>
      <c r="AK664" s="58"/>
    </row>
    <row r="665" ht="14.2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8"/>
      <c r="AG665" s="58"/>
      <c r="AH665" s="58"/>
      <c r="AI665" s="58"/>
      <c r="AJ665" s="58"/>
      <c r="AK665" s="58"/>
    </row>
    <row r="666" ht="14.2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8"/>
      <c r="AG666" s="58"/>
      <c r="AH666" s="58"/>
      <c r="AI666" s="58"/>
      <c r="AJ666" s="58"/>
      <c r="AK666" s="58"/>
    </row>
    <row r="667" ht="14.2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8"/>
      <c r="AG667" s="58"/>
      <c r="AH667" s="58"/>
      <c r="AI667" s="58"/>
      <c r="AJ667" s="58"/>
      <c r="AK667" s="58"/>
    </row>
    <row r="668" ht="14.2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8"/>
      <c r="AG668" s="58"/>
      <c r="AH668" s="58"/>
      <c r="AI668" s="58"/>
      <c r="AJ668" s="58"/>
      <c r="AK668" s="58"/>
    </row>
    <row r="669" ht="14.2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8"/>
      <c r="AG669" s="58"/>
      <c r="AH669" s="58"/>
      <c r="AI669" s="58"/>
      <c r="AJ669" s="58"/>
      <c r="AK669" s="58"/>
    </row>
    <row r="670" ht="14.2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8"/>
      <c r="AG670" s="58"/>
      <c r="AH670" s="58"/>
      <c r="AI670" s="58"/>
      <c r="AJ670" s="58"/>
      <c r="AK670" s="58"/>
    </row>
    <row r="671" ht="14.2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8"/>
      <c r="AG671" s="58"/>
      <c r="AH671" s="58"/>
      <c r="AI671" s="58"/>
      <c r="AJ671" s="58"/>
      <c r="AK671" s="58"/>
    </row>
    <row r="672" ht="14.2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8"/>
      <c r="AG672" s="58"/>
      <c r="AH672" s="58"/>
      <c r="AI672" s="58"/>
      <c r="AJ672" s="58"/>
      <c r="AK672" s="58"/>
    </row>
    <row r="673" ht="14.2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8"/>
      <c r="AG673" s="58"/>
      <c r="AH673" s="58"/>
      <c r="AI673" s="58"/>
      <c r="AJ673" s="58"/>
      <c r="AK673" s="58"/>
    </row>
    <row r="674" ht="14.2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8"/>
      <c r="AG674" s="58"/>
      <c r="AH674" s="58"/>
      <c r="AI674" s="58"/>
      <c r="AJ674" s="58"/>
      <c r="AK674" s="58"/>
    </row>
    <row r="675" ht="14.2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8"/>
      <c r="AG675" s="58"/>
      <c r="AH675" s="58"/>
      <c r="AI675" s="58"/>
      <c r="AJ675" s="58"/>
      <c r="AK675" s="58"/>
    </row>
    <row r="676" ht="14.2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8"/>
      <c r="AG676" s="58"/>
      <c r="AH676" s="58"/>
      <c r="AI676" s="58"/>
      <c r="AJ676" s="58"/>
      <c r="AK676" s="58"/>
    </row>
    <row r="677" ht="14.2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8"/>
      <c r="AG677" s="58"/>
      <c r="AH677" s="58"/>
      <c r="AI677" s="58"/>
      <c r="AJ677" s="58"/>
      <c r="AK677" s="58"/>
    </row>
    <row r="678" ht="14.2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8"/>
      <c r="AG678" s="58"/>
      <c r="AH678" s="58"/>
      <c r="AI678" s="58"/>
      <c r="AJ678" s="58"/>
      <c r="AK678" s="58"/>
    </row>
    <row r="679" ht="14.2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8"/>
      <c r="AG679" s="58"/>
      <c r="AH679" s="58"/>
      <c r="AI679" s="58"/>
      <c r="AJ679" s="58"/>
      <c r="AK679" s="58"/>
    </row>
    <row r="680" ht="14.2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8"/>
      <c r="AG680" s="58"/>
      <c r="AH680" s="58"/>
      <c r="AI680" s="58"/>
      <c r="AJ680" s="58"/>
      <c r="AK680" s="58"/>
    </row>
    <row r="681" ht="14.2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8"/>
      <c r="AG681" s="58"/>
      <c r="AH681" s="58"/>
      <c r="AI681" s="58"/>
      <c r="AJ681" s="58"/>
      <c r="AK681" s="58"/>
    </row>
    <row r="682" ht="14.2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8"/>
      <c r="AG682" s="58"/>
      <c r="AH682" s="58"/>
      <c r="AI682" s="58"/>
      <c r="AJ682" s="58"/>
      <c r="AK682" s="58"/>
    </row>
    <row r="683" ht="14.2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8"/>
      <c r="AG683" s="58"/>
      <c r="AH683" s="58"/>
      <c r="AI683" s="58"/>
      <c r="AJ683" s="58"/>
      <c r="AK683" s="58"/>
    </row>
    <row r="684" ht="14.2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8"/>
      <c r="AG684" s="58"/>
      <c r="AH684" s="58"/>
      <c r="AI684" s="58"/>
      <c r="AJ684" s="58"/>
      <c r="AK684" s="58"/>
    </row>
    <row r="685" ht="14.2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8"/>
      <c r="AG685" s="58"/>
      <c r="AH685" s="58"/>
      <c r="AI685" s="58"/>
      <c r="AJ685" s="58"/>
      <c r="AK685" s="58"/>
    </row>
    <row r="686" ht="14.2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8"/>
      <c r="AG686" s="58"/>
      <c r="AH686" s="58"/>
      <c r="AI686" s="58"/>
      <c r="AJ686" s="58"/>
      <c r="AK686" s="58"/>
    </row>
    <row r="687" ht="14.2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8"/>
      <c r="AG687" s="58"/>
      <c r="AH687" s="58"/>
      <c r="AI687" s="58"/>
      <c r="AJ687" s="58"/>
      <c r="AK687" s="58"/>
    </row>
    <row r="688" ht="14.2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8"/>
      <c r="AG688" s="58"/>
      <c r="AH688" s="58"/>
      <c r="AI688" s="58"/>
      <c r="AJ688" s="58"/>
      <c r="AK688" s="58"/>
    </row>
    <row r="689" ht="14.2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8"/>
      <c r="AG689" s="58"/>
      <c r="AH689" s="58"/>
      <c r="AI689" s="58"/>
      <c r="AJ689" s="58"/>
      <c r="AK689" s="58"/>
    </row>
    <row r="690" ht="14.2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8"/>
      <c r="AG690" s="58"/>
      <c r="AH690" s="58"/>
      <c r="AI690" s="58"/>
      <c r="AJ690" s="58"/>
      <c r="AK690" s="58"/>
    </row>
    <row r="691" ht="14.2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8"/>
      <c r="AG691" s="58"/>
      <c r="AH691" s="58"/>
      <c r="AI691" s="58"/>
      <c r="AJ691" s="58"/>
      <c r="AK691" s="58"/>
    </row>
    <row r="692" ht="14.2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8"/>
      <c r="AG692" s="58"/>
      <c r="AH692" s="58"/>
      <c r="AI692" s="58"/>
      <c r="AJ692" s="58"/>
      <c r="AK692" s="58"/>
    </row>
    <row r="693" ht="14.2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8"/>
      <c r="AG693" s="58"/>
      <c r="AH693" s="58"/>
      <c r="AI693" s="58"/>
      <c r="AJ693" s="58"/>
      <c r="AK693" s="58"/>
    </row>
    <row r="694" ht="14.2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8"/>
      <c r="AG694" s="58"/>
      <c r="AH694" s="58"/>
      <c r="AI694" s="58"/>
      <c r="AJ694" s="58"/>
      <c r="AK694" s="58"/>
    </row>
    <row r="695" ht="14.2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8"/>
      <c r="AG695" s="58"/>
      <c r="AH695" s="58"/>
      <c r="AI695" s="58"/>
      <c r="AJ695" s="58"/>
      <c r="AK695" s="58"/>
    </row>
    <row r="696" ht="14.2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8"/>
      <c r="AG696" s="58"/>
      <c r="AH696" s="58"/>
      <c r="AI696" s="58"/>
      <c r="AJ696" s="58"/>
      <c r="AK696" s="58"/>
    </row>
    <row r="697" ht="14.2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8"/>
      <c r="AG697" s="58"/>
      <c r="AH697" s="58"/>
      <c r="AI697" s="58"/>
      <c r="AJ697" s="58"/>
      <c r="AK697" s="58"/>
    </row>
    <row r="698" ht="14.2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8"/>
      <c r="AG698" s="58"/>
      <c r="AH698" s="58"/>
      <c r="AI698" s="58"/>
      <c r="AJ698" s="58"/>
      <c r="AK698" s="58"/>
    </row>
    <row r="699" ht="14.2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8"/>
      <c r="AG699" s="58"/>
      <c r="AH699" s="58"/>
      <c r="AI699" s="58"/>
      <c r="AJ699" s="58"/>
      <c r="AK699" s="58"/>
    </row>
    <row r="700" ht="14.2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8"/>
      <c r="AG700" s="58"/>
      <c r="AH700" s="58"/>
      <c r="AI700" s="58"/>
      <c r="AJ700" s="58"/>
      <c r="AK700" s="58"/>
    </row>
    <row r="701" ht="14.2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8"/>
      <c r="AG701" s="58"/>
      <c r="AH701" s="58"/>
      <c r="AI701" s="58"/>
      <c r="AJ701" s="58"/>
      <c r="AK701" s="58"/>
    </row>
    <row r="702" ht="14.2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8"/>
      <c r="AG702" s="58"/>
      <c r="AH702" s="58"/>
      <c r="AI702" s="58"/>
      <c r="AJ702" s="58"/>
      <c r="AK702" s="58"/>
    </row>
    <row r="703" ht="14.2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8"/>
      <c r="AG703" s="58"/>
      <c r="AH703" s="58"/>
      <c r="AI703" s="58"/>
      <c r="AJ703" s="58"/>
      <c r="AK703" s="58"/>
    </row>
    <row r="704" ht="14.2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8"/>
      <c r="AG704" s="58"/>
      <c r="AH704" s="58"/>
      <c r="AI704" s="58"/>
      <c r="AJ704" s="58"/>
      <c r="AK704" s="58"/>
    </row>
    <row r="705" ht="14.2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8"/>
      <c r="AG705" s="58"/>
      <c r="AH705" s="58"/>
      <c r="AI705" s="58"/>
      <c r="AJ705" s="58"/>
      <c r="AK705" s="58"/>
    </row>
    <row r="706" ht="14.2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8"/>
      <c r="AG706" s="58"/>
      <c r="AH706" s="58"/>
      <c r="AI706" s="58"/>
      <c r="AJ706" s="58"/>
      <c r="AK706" s="58"/>
    </row>
    <row r="707" ht="14.2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8"/>
      <c r="AG707" s="58"/>
      <c r="AH707" s="58"/>
      <c r="AI707" s="58"/>
      <c r="AJ707" s="58"/>
      <c r="AK707" s="58"/>
    </row>
    <row r="708" ht="14.2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8"/>
      <c r="AG708" s="58"/>
      <c r="AH708" s="58"/>
      <c r="AI708" s="58"/>
      <c r="AJ708" s="58"/>
      <c r="AK708" s="58"/>
    </row>
    <row r="709" ht="14.2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8"/>
      <c r="AG709" s="58"/>
      <c r="AH709" s="58"/>
      <c r="AI709" s="58"/>
      <c r="AJ709" s="58"/>
      <c r="AK709" s="58"/>
    </row>
    <row r="710" ht="14.2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8"/>
      <c r="AG710" s="58"/>
      <c r="AH710" s="58"/>
      <c r="AI710" s="58"/>
      <c r="AJ710" s="58"/>
      <c r="AK710" s="58"/>
    </row>
    <row r="711" ht="14.2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8"/>
      <c r="AG711" s="58"/>
      <c r="AH711" s="58"/>
      <c r="AI711" s="58"/>
      <c r="AJ711" s="58"/>
      <c r="AK711" s="58"/>
    </row>
    <row r="712" ht="14.2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8"/>
      <c r="AG712" s="58"/>
      <c r="AH712" s="58"/>
      <c r="AI712" s="58"/>
      <c r="AJ712" s="58"/>
      <c r="AK712" s="58"/>
    </row>
    <row r="713" ht="14.2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8"/>
      <c r="AG713" s="58"/>
      <c r="AH713" s="58"/>
      <c r="AI713" s="58"/>
      <c r="AJ713" s="58"/>
      <c r="AK713" s="58"/>
    </row>
    <row r="714" ht="14.2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8"/>
      <c r="AG714" s="58"/>
      <c r="AH714" s="58"/>
      <c r="AI714" s="58"/>
      <c r="AJ714" s="58"/>
      <c r="AK714" s="58"/>
    </row>
    <row r="715" ht="14.2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8"/>
      <c r="AG715" s="58"/>
      <c r="AH715" s="58"/>
      <c r="AI715" s="58"/>
      <c r="AJ715" s="58"/>
      <c r="AK715" s="58"/>
    </row>
    <row r="716" ht="14.2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8"/>
      <c r="AG716" s="58"/>
      <c r="AH716" s="58"/>
      <c r="AI716" s="58"/>
      <c r="AJ716" s="58"/>
      <c r="AK716" s="58"/>
    </row>
    <row r="717" ht="14.2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8"/>
      <c r="AG717" s="58"/>
      <c r="AH717" s="58"/>
      <c r="AI717" s="58"/>
      <c r="AJ717" s="58"/>
      <c r="AK717" s="58"/>
    </row>
    <row r="718" ht="14.2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8"/>
      <c r="AG718" s="58"/>
      <c r="AH718" s="58"/>
      <c r="AI718" s="58"/>
      <c r="AJ718" s="58"/>
      <c r="AK718" s="58"/>
    </row>
    <row r="719" ht="14.2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8"/>
      <c r="AG719" s="58"/>
      <c r="AH719" s="58"/>
      <c r="AI719" s="58"/>
      <c r="AJ719" s="58"/>
      <c r="AK719" s="58"/>
    </row>
    <row r="720" ht="14.2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8"/>
      <c r="AG720" s="58"/>
      <c r="AH720" s="58"/>
      <c r="AI720" s="58"/>
      <c r="AJ720" s="58"/>
      <c r="AK720" s="58"/>
    </row>
    <row r="721" ht="14.2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8"/>
      <c r="AG721" s="58"/>
      <c r="AH721" s="58"/>
      <c r="AI721" s="58"/>
      <c r="AJ721" s="58"/>
      <c r="AK721" s="58"/>
    </row>
    <row r="722" ht="14.2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8"/>
      <c r="AG722" s="58"/>
      <c r="AH722" s="58"/>
      <c r="AI722" s="58"/>
      <c r="AJ722" s="58"/>
      <c r="AK722" s="58"/>
    </row>
    <row r="723" ht="14.2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8"/>
      <c r="AG723" s="58"/>
      <c r="AH723" s="58"/>
      <c r="AI723" s="58"/>
      <c r="AJ723" s="58"/>
      <c r="AK723" s="58"/>
    </row>
    <row r="724" ht="14.2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8"/>
      <c r="AG724" s="58"/>
      <c r="AH724" s="58"/>
      <c r="AI724" s="58"/>
      <c r="AJ724" s="58"/>
      <c r="AK724" s="58"/>
    </row>
    <row r="725" ht="14.2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8"/>
      <c r="AG725" s="58"/>
      <c r="AH725" s="58"/>
      <c r="AI725" s="58"/>
      <c r="AJ725" s="58"/>
      <c r="AK725" s="58"/>
    </row>
    <row r="726" ht="14.2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8"/>
      <c r="AG726" s="58"/>
      <c r="AH726" s="58"/>
      <c r="AI726" s="58"/>
      <c r="AJ726" s="58"/>
      <c r="AK726" s="58"/>
    </row>
    <row r="727" ht="14.2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8"/>
      <c r="AG727" s="58"/>
      <c r="AH727" s="58"/>
      <c r="AI727" s="58"/>
      <c r="AJ727" s="58"/>
      <c r="AK727" s="58"/>
    </row>
    <row r="728" ht="14.2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8"/>
      <c r="AG728" s="58"/>
      <c r="AH728" s="58"/>
      <c r="AI728" s="58"/>
      <c r="AJ728" s="58"/>
      <c r="AK728" s="58"/>
    </row>
    <row r="729" ht="14.2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8"/>
      <c r="AG729" s="58"/>
      <c r="AH729" s="58"/>
      <c r="AI729" s="58"/>
      <c r="AJ729" s="58"/>
      <c r="AK729" s="58"/>
    </row>
    <row r="730" ht="14.2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8"/>
      <c r="AG730" s="58"/>
      <c r="AH730" s="58"/>
      <c r="AI730" s="58"/>
      <c r="AJ730" s="58"/>
      <c r="AK730" s="58"/>
    </row>
    <row r="731" ht="14.2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8"/>
      <c r="AG731" s="58"/>
      <c r="AH731" s="58"/>
      <c r="AI731" s="58"/>
      <c r="AJ731" s="58"/>
      <c r="AK731" s="58"/>
    </row>
    <row r="732" ht="14.2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8"/>
      <c r="AG732" s="58"/>
      <c r="AH732" s="58"/>
      <c r="AI732" s="58"/>
      <c r="AJ732" s="58"/>
      <c r="AK732" s="58"/>
    </row>
    <row r="733" ht="14.2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8"/>
      <c r="AG733" s="58"/>
      <c r="AH733" s="58"/>
      <c r="AI733" s="58"/>
      <c r="AJ733" s="58"/>
      <c r="AK733" s="58"/>
    </row>
    <row r="734" ht="14.2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8"/>
      <c r="AG734" s="58"/>
      <c r="AH734" s="58"/>
      <c r="AI734" s="58"/>
      <c r="AJ734" s="58"/>
      <c r="AK734" s="58"/>
    </row>
    <row r="735" ht="14.2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8"/>
      <c r="AG735" s="58"/>
      <c r="AH735" s="58"/>
      <c r="AI735" s="58"/>
      <c r="AJ735" s="58"/>
      <c r="AK735" s="58"/>
    </row>
    <row r="736" ht="14.2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8"/>
      <c r="AG736" s="58"/>
      <c r="AH736" s="58"/>
      <c r="AI736" s="58"/>
      <c r="AJ736" s="58"/>
      <c r="AK736" s="58"/>
    </row>
    <row r="737" ht="14.2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8"/>
      <c r="AG737" s="58"/>
      <c r="AH737" s="58"/>
      <c r="AI737" s="58"/>
      <c r="AJ737" s="58"/>
      <c r="AK737" s="58"/>
    </row>
    <row r="738" ht="14.2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8"/>
      <c r="AG738" s="58"/>
      <c r="AH738" s="58"/>
      <c r="AI738" s="58"/>
      <c r="AJ738" s="58"/>
      <c r="AK738" s="58"/>
    </row>
    <row r="739" ht="14.2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8"/>
      <c r="AG739" s="58"/>
      <c r="AH739" s="58"/>
      <c r="AI739" s="58"/>
      <c r="AJ739" s="58"/>
      <c r="AK739" s="58"/>
    </row>
    <row r="740" ht="14.2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8"/>
      <c r="AG740" s="58"/>
      <c r="AH740" s="58"/>
      <c r="AI740" s="58"/>
      <c r="AJ740" s="58"/>
      <c r="AK740" s="58"/>
    </row>
    <row r="741" ht="14.2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8"/>
      <c r="AG741" s="58"/>
      <c r="AH741" s="58"/>
      <c r="AI741" s="58"/>
      <c r="AJ741" s="58"/>
      <c r="AK741" s="58"/>
    </row>
    <row r="742" ht="14.2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8"/>
      <c r="AG742" s="58"/>
      <c r="AH742" s="58"/>
      <c r="AI742" s="58"/>
      <c r="AJ742" s="58"/>
      <c r="AK742" s="58"/>
    </row>
    <row r="743" ht="14.2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8"/>
      <c r="AG743" s="58"/>
      <c r="AH743" s="58"/>
      <c r="AI743" s="58"/>
      <c r="AJ743" s="58"/>
      <c r="AK743" s="58"/>
    </row>
    <row r="744" ht="14.2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8"/>
      <c r="AG744" s="58"/>
      <c r="AH744" s="58"/>
      <c r="AI744" s="58"/>
      <c r="AJ744" s="58"/>
      <c r="AK744" s="58"/>
    </row>
    <row r="745" ht="14.2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8"/>
      <c r="AG745" s="58"/>
      <c r="AH745" s="58"/>
      <c r="AI745" s="58"/>
      <c r="AJ745" s="58"/>
      <c r="AK745" s="58"/>
    </row>
    <row r="746" ht="14.2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8"/>
      <c r="AG746" s="58"/>
      <c r="AH746" s="58"/>
      <c r="AI746" s="58"/>
      <c r="AJ746" s="58"/>
      <c r="AK746" s="58"/>
    </row>
    <row r="747" ht="14.2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8"/>
      <c r="AG747" s="58"/>
      <c r="AH747" s="58"/>
      <c r="AI747" s="58"/>
      <c r="AJ747" s="58"/>
      <c r="AK747" s="58"/>
    </row>
    <row r="748" ht="14.2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8"/>
      <c r="AG748" s="58"/>
      <c r="AH748" s="58"/>
      <c r="AI748" s="58"/>
      <c r="AJ748" s="58"/>
      <c r="AK748" s="58"/>
    </row>
    <row r="749" ht="14.2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8"/>
      <c r="AG749" s="58"/>
      <c r="AH749" s="58"/>
      <c r="AI749" s="58"/>
      <c r="AJ749" s="58"/>
      <c r="AK749" s="58"/>
    </row>
    <row r="750" ht="14.2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8"/>
      <c r="AG750" s="58"/>
      <c r="AH750" s="58"/>
      <c r="AI750" s="58"/>
      <c r="AJ750" s="58"/>
      <c r="AK750" s="58"/>
    </row>
    <row r="751" ht="14.2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8"/>
      <c r="AG751" s="58"/>
      <c r="AH751" s="58"/>
      <c r="AI751" s="58"/>
      <c r="AJ751" s="58"/>
      <c r="AK751" s="58"/>
    </row>
    <row r="752" ht="14.2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8"/>
      <c r="AG752" s="58"/>
      <c r="AH752" s="58"/>
      <c r="AI752" s="58"/>
      <c r="AJ752" s="58"/>
      <c r="AK752" s="58"/>
    </row>
    <row r="753" ht="14.2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8"/>
      <c r="AG753" s="58"/>
      <c r="AH753" s="58"/>
      <c r="AI753" s="58"/>
      <c r="AJ753" s="58"/>
      <c r="AK753" s="58"/>
    </row>
    <row r="754" ht="14.2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8"/>
      <c r="AG754" s="58"/>
      <c r="AH754" s="58"/>
      <c r="AI754" s="58"/>
      <c r="AJ754" s="58"/>
      <c r="AK754" s="58"/>
    </row>
    <row r="755" ht="14.2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8"/>
      <c r="AG755" s="58"/>
      <c r="AH755" s="58"/>
      <c r="AI755" s="58"/>
      <c r="AJ755" s="58"/>
      <c r="AK755" s="58"/>
    </row>
    <row r="756" ht="14.2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8"/>
      <c r="AG756" s="58"/>
      <c r="AH756" s="58"/>
      <c r="AI756" s="58"/>
      <c r="AJ756" s="58"/>
      <c r="AK756" s="58"/>
    </row>
    <row r="757" ht="14.2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8"/>
      <c r="AG757" s="58"/>
      <c r="AH757" s="58"/>
      <c r="AI757" s="58"/>
      <c r="AJ757" s="58"/>
      <c r="AK757" s="58"/>
    </row>
    <row r="758" ht="14.2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8"/>
      <c r="AG758" s="58"/>
      <c r="AH758" s="58"/>
      <c r="AI758" s="58"/>
      <c r="AJ758" s="58"/>
      <c r="AK758" s="58"/>
    </row>
    <row r="759" ht="14.2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8"/>
      <c r="AG759" s="58"/>
      <c r="AH759" s="58"/>
      <c r="AI759" s="58"/>
      <c r="AJ759" s="58"/>
      <c r="AK759" s="58"/>
    </row>
    <row r="760" ht="14.2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8"/>
      <c r="AG760" s="58"/>
      <c r="AH760" s="58"/>
      <c r="AI760" s="58"/>
      <c r="AJ760" s="58"/>
      <c r="AK760" s="58"/>
    </row>
    <row r="761" ht="14.2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8"/>
      <c r="AG761" s="58"/>
      <c r="AH761" s="58"/>
      <c r="AI761" s="58"/>
      <c r="AJ761" s="58"/>
      <c r="AK761" s="58"/>
    </row>
    <row r="762" ht="14.2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8"/>
      <c r="AG762" s="58"/>
      <c r="AH762" s="58"/>
      <c r="AI762" s="58"/>
      <c r="AJ762" s="58"/>
      <c r="AK762" s="58"/>
    </row>
    <row r="763" ht="14.2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8"/>
      <c r="AG763" s="58"/>
      <c r="AH763" s="58"/>
      <c r="AI763" s="58"/>
      <c r="AJ763" s="58"/>
      <c r="AK763" s="58"/>
    </row>
    <row r="764" ht="14.2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8"/>
      <c r="AG764" s="58"/>
      <c r="AH764" s="58"/>
      <c r="AI764" s="58"/>
      <c r="AJ764" s="58"/>
      <c r="AK764" s="58"/>
    </row>
    <row r="765" ht="14.2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8"/>
      <c r="AG765" s="58"/>
      <c r="AH765" s="58"/>
      <c r="AI765" s="58"/>
      <c r="AJ765" s="58"/>
      <c r="AK765" s="58"/>
    </row>
    <row r="766" ht="14.2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8"/>
      <c r="AG766" s="58"/>
      <c r="AH766" s="58"/>
      <c r="AI766" s="58"/>
      <c r="AJ766" s="58"/>
      <c r="AK766" s="58"/>
    </row>
    <row r="767" ht="14.2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8"/>
      <c r="AG767" s="58"/>
      <c r="AH767" s="58"/>
      <c r="AI767" s="58"/>
      <c r="AJ767" s="58"/>
      <c r="AK767" s="58"/>
    </row>
    <row r="768" ht="14.2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8"/>
      <c r="AG768" s="58"/>
      <c r="AH768" s="58"/>
      <c r="AI768" s="58"/>
      <c r="AJ768" s="58"/>
      <c r="AK768" s="58"/>
    </row>
    <row r="769" ht="14.2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8"/>
      <c r="AG769" s="58"/>
      <c r="AH769" s="58"/>
      <c r="AI769" s="58"/>
      <c r="AJ769" s="58"/>
      <c r="AK769" s="58"/>
    </row>
    <row r="770" ht="14.2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8"/>
      <c r="AG770" s="58"/>
      <c r="AH770" s="58"/>
      <c r="AI770" s="58"/>
      <c r="AJ770" s="58"/>
      <c r="AK770" s="58"/>
    </row>
    <row r="771" ht="14.2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8"/>
      <c r="AG771" s="58"/>
      <c r="AH771" s="58"/>
      <c r="AI771" s="58"/>
      <c r="AJ771" s="58"/>
      <c r="AK771" s="58"/>
    </row>
    <row r="772" ht="14.2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8"/>
      <c r="AG772" s="58"/>
      <c r="AH772" s="58"/>
      <c r="AI772" s="58"/>
      <c r="AJ772" s="58"/>
      <c r="AK772" s="58"/>
    </row>
    <row r="773" ht="14.2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8"/>
      <c r="AG773" s="58"/>
      <c r="AH773" s="58"/>
      <c r="AI773" s="58"/>
      <c r="AJ773" s="58"/>
      <c r="AK773" s="58"/>
    </row>
    <row r="774" ht="14.2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8"/>
      <c r="AG774" s="58"/>
      <c r="AH774" s="58"/>
      <c r="AI774" s="58"/>
      <c r="AJ774" s="58"/>
      <c r="AK774" s="58"/>
    </row>
    <row r="775" ht="14.2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8"/>
      <c r="AG775" s="58"/>
      <c r="AH775" s="58"/>
      <c r="AI775" s="58"/>
      <c r="AJ775" s="58"/>
      <c r="AK775" s="58"/>
    </row>
    <row r="776" ht="14.2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8"/>
      <c r="AG776" s="58"/>
      <c r="AH776" s="58"/>
      <c r="AI776" s="58"/>
      <c r="AJ776" s="58"/>
      <c r="AK776" s="58"/>
    </row>
    <row r="777" ht="14.2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8"/>
      <c r="AG777" s="58"/>
      <c r="AH777" s="58"/>
      <c r="AI777" s="58"/>
      <c r="AJ777" s="58"/>
      <c r="AK777" s="58"/>
    </row>
    <row r="778" ht="14.2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8"/>
      <c r="AG778" s="58"/>
      <c r="AH778" s="58"/>
      <c r="AI778" s="58"/>
      <c r="AJ778" s="58"/>
      <c r="AK778" s="58"/>
    </row>
    <row r="779" ht="14.2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8"/>
      <c r="AG779" s="58"/>
      <c r="AH779" s="58"/>
      <c r="AI779" s="58"/>
      <c r="AJ779" s="58"/>
      <c r="AK779" s="58"/>
    </row>
    <row r="780" ht="14.2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8"/>
      <c r="AG780" s="58"/>
      <c r="AH780" s="58"/>
      <c r="AI780" s="58"/>
      <c r="AJ780" s="58"/>
      <c r="AK780" s="58"/>
    </row>
    <row r="781" ht="14.2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8"/>
      <c r="AG781" s="58"/>
      <c r="AH781" s="58"/>
      <c r="AI781" s="58"/>
      <c r="AJ781" s="58"/>
      <c r="AK781" s="58"/>
    </row>
    <row r="782" ht="14.2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8"/>
      <c r="AG782" s="58"/>
      <c r="AH782" s="58"/>
      <c r="AI782" s="58"/>
      <c r="AJ782" s="58"/>
      <c r="AK782" s="58"/>
    </row>
    <row r="783" ht="14.2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8"/>
      <c r="AG783" s="58"/>
      <c r="AH783" s="58"/>
      <c r="AI783" s="58"/>
      <c r="AJ783" s="58"/>
      <c r="AK783" s="58"/>
    </row>
    <row r="784" ht="14.2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8"/>
      <c r="AG784" s="58"/>
      <c r="AH784" s="58"/>
      <c r="AI784" s="58"/>
      <c r="AJ784" s="58"/>
      <c r="AK784" s="58"/>
    </row>
    <row r="785" ht="14.2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8"/>
      <c r="AG785" s="58"/>
      <c r="AH785" s="58"/>
      <c r="AI785" s="58"/>
      <c r="AJ785" s="58"/>
      <c r="AK785" s="58"/>
    </row>
    <row r="786" ht="14.2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8"/>
      <c r="AG786" s="58"/>
      <c r="AH786" s="58"/>
      <c r="AI786" s="58"/>
      <c r="AJ786" s="58"/>
      <c r="AK786" s="58"/>
    </row>
    <row r="787" ht="14.2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8"/>
      <c r="AG787" s="58"/>
      <c r="AH787" s="58"/>
      <c r="AI787" s="58"/>
      <c r="AJ787" s="58"/>
      <c r="AK787" s="58"/>
    </row>
    <row r="788" ht="14.2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8"/>
      <c r="AG788" s="58"/>
      <c r="AH788" s="58"/>
      <c r="AI788" s="58"/>
      <c r="AJ788" s="58"/>
      <c r="AK788" s="58"/>
    </row>
    <row r="789" ht="14.2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8"/>
      <c r="AG789" s="58"/>
      <c r="AH789" s="58"/>
      <c r="AI789" s="58"/>
      <c r="AJ789" s="58"/>
      <c r="AK789" s="58"/>
    </row>
    <row r="790" ht="14.2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8"/>
      <c r="AG790" s="58"/>
      <c r="AH790" s="58"/>
      <c r="AI790" s="58"/>
      <c r="AJ790" s="58"/>
      <c r="AK790" s="58"/>
    </row>
    <row r="791" ht="14.2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8"/>
      <c r="AG791" s="58"/>
      <c r="AH791" s="58"/>
      <c r="AI791" s="58"/>
      <c r="AJ791" s="58"/>
      <c r="AK791" s="58"/>
    </row>
    <row r="792" ht="14.2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8"/>
      <c r="AG792" s="58"/>
      <c r="AH792" s="58"/>
      <c r="AI792" s="58"/>
      <c r="AJ792" s="58"/>
      <c r="AK792" s="58"/>
    </row>
    <row r="793" ht="14.2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8"/>
      <c r="AG793" s="58"/>
      <c r="AH793" s="58"/>
      <c r="AI793" s="58"/>
      <c r="AJ793" s="58"/>
      <c r="AK793" s="58"/>
    </row>
    <row r="794" ht="14.2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8"/>
      <c r="AG794" s="58"/>
      <c r="AH794" s="58"/>
      <c r="AI794" s="58"/>
      <c r="AJ794" s="58"/>
      <c r="AK794" s="58"/>
    </row>
    <row r="795" ht="14.2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8"/>
      <c r="AG795" s="58"/>
      <c r="AH795" s="58"/>
      <c r="AI795" s="58"/>
      <c r="AJ795" s="58"/>
      <c r="AK795" s="58"/>
    </row>
    <row r="796" ht="14.2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8"/>
      <c r="AG796" s="58"/>
      <c r="AH796" s="58"/>
      <c r="AI796" s="58"/>
      <c r="AJ796" s="58"/>
      <c r="AK796" s="58"/>
    </row>
    <row r="797" ht="14.2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8"/>
      <c r="AG797" s="58"/>
      <c r="AH797" s="58"/>
      <c r="AI797" s="58"/>
      <c r="AJ797" s="58"/>
      <c r="AK797" s="58"/>
    </row>
    <row r="798" ht="14.2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8"/>
      <c r="AG798" s="58"/>
      <c r="AH798" s="58"/>
      <c r="AI798" s="58"/>
      <c r="AJ798" s="58"/>
      <c r="AK798" s="58"/>
    </row>
    <row r="799" ht="14.2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8"/>
      <c r="AG799" s="58"/>
      <c r="AH799" s="58"/>
      <c r="AI799" s="58"/>
      <c r="AJ799" s="58"/>
      <c r="AK799" s="58"/>
    </row>
    <row r="800" ht="14.2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8"/>
      <c r="AG800" s="58"/>
      <c r="AH800" s="58"/>
      <c r="AI800" s="58"/>
      <c r="AJ800" s="58"/>
      <c r="AK800" s="58"/>
    </row>
    <row r="801" ht="14.2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8"/>
      <c r="AG801" s="58"/>
      <c r="AH801" s="58"/>
      <c r="AI801" s="58"/>
      <c r="AJ801" s="58"/>
      <c r="AK801" s="58"/>
    </row>
    <row r="802" ht="14.2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8"/>
      <c r="AG802" s="58"/>
      <c r="AH802" s="58"/>
      <c r="AI802" s="58"/>
      <c r="AJ802" s="58"/>
      <c r="AK802" s="58"/>
    </row>
    <row r="803" ht="14.2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8"/>
      <c r="AG803" s="58"/>
      <c r="AH803" s="58"/>
      <c r="AI803" s="58"/>
      <c r="AJ803" s="58"/>
      <c r="AK803" s="58"/>
    </row>
    <row r="804" ht="14.2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8"/>
      <c r="AG804" s="58"/>
      <c r="AH804" s="58"/>
      <c r="AI804" s="58"/>
      <c r="AJ804" s="58"/>
      <c r="AK804" s="58"/>
    </row>
    <row r="805" ht="14.2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8"/>
      <c r="AG805" s="58"/>
      <c r="AH805" s="58"/>
      <c r="AI805" s="58"/>
      <c r="AJ805" s="58"/>
      <c r="AK805" s="58"/>
    </row>
    <row r="806" ht="14.2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8"/>
      <c r="AG806" s="58"/>
      <c r="AH806" s="58"/>
      <c r="AI806" s="58"/>
      <c r="AJ806" s="58"/>
      <c r="AK806" s="58"/>
    </row>
    <row r="807" ht="14.2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8"/>
      <c r="AG807" s="58"/>
      <c r="AH807" s="58"/>
      <c r="AI807" s="58"/>
      <c r="AJ807" s="58"/>
      <c r="AK807" s="58"/>
    </row>
    <row r="808" ht="14.2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8"/>
      <c r="AG808" s="58"/>
      <c r="AH808" s="58"/>
      <c r="AI808" s="58"/>
      <c r="AJ808" s="58"/>
      <c r="AK808" s="58"/>
    </row>
    <row r="809" ht="14.2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8"/>
      <c r="AG809" s="58"/>
      <c r="AH809" s="58"/>
      <c r="AI809" s="58"/>
      <c r="AJ809" s="58"/>
      <c r="AK809" s="58"/>
    </row>
    <row r="810" ht="14.2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8"/>
      <c r="AG810" s="58"/>
      <c r="AH810" s="58"/>
      <c r="AI810" s="58"/>
      <c r="AJ810" s="58"/>
      <c r="AK810" s="58"/>
    </row>
    <row r="811" ht="14.2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8"/>
      <c r="AG811" s="58"/>
      <c r="AH811" s="58"/>
      <c r="AI811" s="58"/>
      <c r="AJ811" s="58"/>
      <c r="AK811" s="58"/>
    </row>
    <row r="812" ht="14.2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8"/>
      <c r="AG812" s="58"/>
      <c r="AH812" s="58"/>
      <c r="AI812" s="58"/>
      <c r="AJ812" s="58"/>
      <c r="AK812" s="58"/>
    </row>
    <row r="813" ht="14.2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8"/>
      <c r="AG813" s="58"/>
      <c r="AH813" s="58"/>
      <c r="AI813" s="58"/>
      <c r="AJ813" s="58"/>
      <c r="AK813" s="58"/>
    </row>
    <row r="814" ht="14.2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8"/>
      <c r="AG814" s="58"/>
      <c r="AH814" s="58"/>
      <c r="AI814" s="58"/>
      <c r="AJ814" s="58"/>
      <c r="AK814" s="58"/>
    </row>
    <row r="815" ht="14.2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8"/>
      <c r="AG815" s="58"/>
      <c r="AH815" s="58"/>
      <c r="AI815" s="58"/>
      <c r="AJ815" s="58"/>
      <c r="AK815" s="58"/>
    </row>
    <row r="816" ht="14.2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8"/>
      <c r="AG816" s="58"/>
      <c r="AH816" s="58"/>
      <c r="AI816" s="58"/>
      <c r="AJ816" s="58"/>
      <c r="AK816" s="58"/>
    </row>
    <row r="817" ht="14.2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8"/>
      <c r="AG817" s="58"/>
      <c r="AH817" s="58"/>
      <c r="AI817" s="58"/>
      <c r="AJ817" s="58"/>
      <c r="AK817" s="58"/>
    </row>
    <row r="818" ht="14.2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8"/>
      <c r="AG818" s="58"/>
      <c r="AH818" s="58"/>
      <c r="AI818" s="58"/>
      <c r="AJ818" s="58"/>
      <c r="AK818" s="58"/>
    </row>
    <row r="819" ht="14.2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8"/>
      <c r="AG819" s="58"/>
      <c r="AH819" s="58"/>
      <c r="AI819" s="58"/>
      <c r="AJ819" s="58"/>
      <c r="AK819" s="58"/>
    </row>
    <row r="820" ht="14.2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8"/>
      <c r="AG820" s="58"/>
      <c r="AH820" s="58"/>
      <c r="AI820" s="58"/>
      <c r="AJ820" s="58"/>
      <c r="AK820" s="58"/>
    </row>
    <row r="821" ht="14.2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8"/>
      <c r="AG821" s="58"/>
      <c r="AH821" s="58"/>
      <c r="AI821" s="58"/>
      <c r="AJ821" s="58"/>
      <c r="AK821" s="58"/>
    </row>
    <row r="822" ht="14.2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8"/>
      <c r="AG822" s="58"/>
      <c r="AH822" s="58"/>
      <c r="AI822" s="58"/>
      <c r="AJ822" s="58"/>
      <c r="AK822" s="58"/>
    </row>
    <row r="823" ht="14.2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8"/>
      <c r="AG823" s="58"/>
      <c r="AH823" s="58"/>
      <c r="AI823" s="58"/>
      <c r="AJ823" s="58"/>
      <c r="AK823" s="58"/>
    </row>
    <row r="824" ht="14.2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8"/>
      <c r="AG824" s="58"/>
      <c r="AH824" s="58"/>
      <c r="AI824" s="58"/>
      <c r="AJ824" s="58"/>
      <c r="AK824" s="58"/>
    </row>
    <row r="825" ht="14.2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8"/>
      <c r="AG825" s="58"/>
      <c r="AH825" s="58"/>
      <c r="AI825" s="58"/>
      <c r="AJ825" s="58"/>
      <c r="AK825" s="58"/>
    </row>
    <row r="826" ht="14.2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8"/>
      <c r="AG826" s="58"/>
      <c r="AH826" s="58"/>
      <c r="AI826" s="58"/>
      <c r="AJ826" s="58"/>
      <c r="AK826" s="58"/>
    </row>
    <row r="827" ht="14.2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8"/>
      <c r="AG827" s="58"/>
      <c r="AH827" s="58"/>
      <c r="AI827" s="58"/>
      <c r="AJ827" s="58"/>
      <c r="AK827" s="58"/>
    </row>
    <row r="828" ht="14.2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8"/>
      <c r="AG828" s="58"/>
      <c r="AH828" s="58"/>
      <c r="AI828" s="58"/>
      <c r="AJ828" s="58"/>
      <c r="AK828" s="58"/>
    </row>
    <row r="829" ht="14.2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8"/>
      <c r="AG829" s="58"/>
      <c r="AH829" s="58"/>
      <c r="AI829" s="58"/>
      <c r="AJ829" s="58"/>
      <c r="AK829" s="58"/>
    </row>
    <row r="830" ht="14.2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8"/>
      <c r="AG830" s="58"/>
      <c r="AH830" s="58"/>
      <c r="AI830" s="58"/>
      <c r="AJ830" s="58"/>
      <c r="AK830" s="58"/>
    </row>
    <row r="831" ht="14.2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8"/>
      <c r="AG831" s="58"/>
      <c r="AH831" s="58"/>
      <c r="AI831" s="58"/>
      <c r="AJ831" s="58"/>
      <c r="AK831" s="58"/>
    </row>
    <row r="832" ht="14.2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8"/>
      <c r="AG832" s="58"/>
      <c r="AH832" s="58"/>
      <c r="AI832" s="58"/>
      <c r="AJ832" s="58"/>
      <c r="AK832" s="58"/>
    </row>
    <row r="833" ht="14.2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8"/>
      <c r="AG833" s="58"/>
      <c r="AH833" s="58"/>
      <c r="AI833" s="58"/>
      <c r="AJ833" s="58"/>
      <c r="AK833" s="58"/>
    </row>
    <row r="834" ht="14.2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8"/>
      <c r="AG834" s="58"/>
      <c r="AH834" s="58"/>
      <c r="AI834" s="58"/>
      <c r="AJ834" s="58"/>
      <c r="AK834" s="58"/>
    </row>
    <row r="835" ht="14.2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8"/>
      <c r="AG835" s="58"/>
      <c r="AH835" s="58"/>
      <c r="AI835" s="58"/>
      <c r="AJ835" s="58"/>
      <c r="AK835" s="58"/>
    </row>
    <row r="836" ht="14.2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8"/>
      <c r="AG836" s="58"/>
      <c r="AH836" s="58"/>
      <c r="AI836" s="58"/>
      <c r="AJ836" s="58"/>
      <c r="AK836" s="58"/>
    </row>
    <row r="837" ht="14.2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8"/>
      <c r="AG837" s="58"/>
      <c r="AH837" s="58"/>
      <c r="AI837" s="58"/>
      <c r="AJ837" s="58"/>
      <c r="AK837" s="58"/>
    </row>
    <row r="838" ht="14.2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8"/>
      <c r="AG838" s="58"/>
      <c r="AH838" s="58"/>
      <c r="AI838" s="58"/>
      <c r="AJ838" s="58"/>
      <c r="AK838" s="58"/>
    </row>
    <row r="839" ht="14.2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8"/>
      <c r="AG839" s="58"/>
      <c r="AH839" s="58"/>
      <c r="AI839" s="58"/>
      <c r="AJ839" s="58"/>
      <c r="AK839" s="58"/>
    </row>
    <row r="840" ht="14.2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8"/>
      <c r="AG840" s="58"/>
      <c r="AH840" s="58"/>
      <c r="AI840" s="58"/>
      <c r="AJ840" s="58"/>
      <c r="AK840" s="58"/>
    </row>
    <row r="841" ht="14.2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8"/>
      <c r="AG841" s="58"/>
      <c r="AH841" s="58"/>
      <c r="AI841" s="58"/>
      <c r="AJ841" s="58"/>
      <c r="AK841" s="58"/>
    </row>
    <row r="842" ht="14.2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8"/>
      <c r="AG842" s="58"/>
      <c r="AH842" s="58"/>
      <c r="AI842" s="58"/>
      <c r="AJ842" s="58"/>
      <c r="AK842" s="58"/>
    </row>
    <row r="843" ht="14.2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8"/>
      <c r="AG843" s="58"/>
      <c r="AH843" s="58"/>
      <c r="AI843" s="58"/>
      <c r="AJ843" s="58"/>
      <c r="AK843" s="58"/>
    </row>
    <row r="844" ht="14.2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8"/>
      <c r="AG844" s="58"/>
      <c r="AH844" s="58"/>
      <c r="AI844" s="58"/>
      <c r="AJ844" s="58"/>
      <c r="AK844" s="58"/>
    </row>
    <row r="845" ht="14.2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8"/>
      <c r="AG845" s="58"/>
      <c r="AH845" s="58"/>
      <c r="AI845" s="58"/>
      <c r="AJ845" s="58"/>
      <c r="AK845" s="58"/>
    </row>
    <row r="846" ht="14.2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8"/>
      <c r="AG846" s="58"/>
      <c r="AH846" s="58"/>
      <c r="AI846" s="58"/>
      <c r="AJ846" s="58"/>
      <c r="AK846" s="58"/>
    </row>
    <row r="847" ht="14.2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8"/>
      <c r="AG847" s="58"/>
      <c r="AH847" s="58"/>
      <c r="AI847" s="58"/>
      <c r="AJ847" s="58"/>
      <c r="AK847" s="58"/>
    </row>
    <row r="848" ht="14.2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8"/>
      <c r="AG848" s="58"/>
      <c r="AH848" s="58"/>
      <c r="AI848" s="58"/>
      <c r="AJ848" s="58"/>
      <c r="AK848" s="58"/>
    </row>
    <row r="849" ht="14.2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8"/>
      <c r="AG849" s="58"/>
      <c r="AH849" s="58"/>
      <c r="AI849" s="58"/>
      <c r="AJ849" s="58"/>
      <c r="AK849" s="58"/>
    </row>
    <row r="850" ht="14.2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8"/>
      <c r="AG850" s="58"/>
      <c r="AH850" s="58"/>
      <c r="AI850" s="58"/>
      <c r="AJ850" s="58"/>
      <c r="AK850" s="58"/>
    </row>
    <row r="851" ht="14.2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8"/>
      <c r="AG851" s="58"/>
      <c r="AH851" s="58"/>
      <c r="AI851" s="58"/>
      <c r="AJ851" s="58"/>
      <c r="AK851" s="58"/>
    </row>
    <row r="852" ht="14.2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8"/>
      <c r="AG852" s="58"/>
      <c r="AH852" s="58"/>
      <c r="AI852" s="58"/>
      <c r="AJ852" s="58"/>
      <c r="AK852" s="58"/>
    </row>
    <row r="853" ht="14.2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8"/>
      <c r="AG853" s="58"/>
      <c r="AH853" s="58"/>
      <c r="AI853" s="58"/>
      <c r="AJ853" s="58"/>
      <c r="AK853" s="58"/>
    </row>
    <row r="854" ht="14.2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8"/>
      <c r="AG854" s="58"/>
      <c r="AH854" s="58"/>
      <c r="AI854" s="58"/>
      <c r="AJ854" s="58"/>
      <c r="AK854" s="58"/>
    </row>
    <row r="855" ht="14.2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8"/>
      <c r="AG855" s="58"/>
      <c r="AH855" s="58"/>
      <c r="AI855" s="58"/>
      <c r="AJ855" s="58"/>
      <c r="AK855" s="58"/>
    </row>
    <row r="856" ht="14.2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8"/>
      <c r="AG856" s="58"/>
      <c r="AH856" s="58"/>
      <c r="AI856" s="58"/>
      <c r="AJ856" s="58"/>
      <c r="AK856" s="58"/>
    </row>
    <row r="857" ht="14.2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8"/>
      <c r="AG857" s="58"/>
      <c r="AH857" s="58"/>
      <c r="AI857" s="58"/>
      <c r="AJ857" s="58"/>
      <c r="AK857" s="58"/>
    </row>
    <row r="858" ht="14.2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8"/>
      <c r="AG858" s="58"/>
      <c r="AH858" s="58"/>
      <c r="AI858" s="58"/>
      <c r="AJ858" s="58"/>
      <c r="AK858" s="58"/>
    </row>
    <row r="859" ht="14.2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8"/>
      <c r="AG859" s="58"/>
      <c r="AH859" s="58"/>
      <c r="AI859" s="58"/>
      <c r="AJ859" s="58"/>
      <c r="AK859" s="58"/>
    </row>
    <row r="860" ht="14.2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8"/>
      <c r="AG860" s="58"/>
      <c r="AH860" s="58"/>
      <c r="AI860" s="58"/>
      <c r="AJ860" s="58"/>
      <c r="AK860" s="58"/>
    </row>
    <row r="861" ht="14.2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8"/>
      <c r="AG861" s="58"/>
      <c r="AH861" s="58"/>
      <c r="AI861" s="58"/>
      <c r="AJ861" s="58"/>
      <c r="AK861" s="58"/>
    </row>
    <row r="862" ht="14.2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8"/>
      <c r="AG862" s="58"/>
      <c r="AH862" s="58"/>
      <c r="AI862" s="58"/>
      <c r="AJ862" s="58"/>
      <c r="AK862" s="58"/>
    </row>
    <row r="863" ht="14.2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8"/>
      <c r="AG863" s="58"/>
      <c r="AH863" s="58"/>
      <c r="AI863" s="58"/>
      <c r="AJ863" s="58"/>
      <c r="AK863" s="58"/>
    </row>
    <row r="864" ht="14.2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8"/>
      <c r="AG864" s="58"/>
      <c r="AH864" s="58"/>
      <c r="AI864" s="58"/>
      <c r="AJ864" s="58"/>
      <c r="AK864" s="58"/>
    </row>
    <row r="865" ht="14.2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8"/>
      <c r="AG865" s="58"/>
      <c r="AH865" s="58"/>
      <c r="AI865" s="58"/>
      <c r="AJ865" s="58"/>
      <c r="AK865" s="58"/>
    </row>
    <row r="866" ht="14.2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8"/>
      <c r="AG866" s="58"/>
      <c r="AH866" s="58"/>
      <c r="AI866" s="58"/>
      <c r="AJ866" s="58"/>
      <c r="AK866" s="58"/>
    </row>
    <row r="867" ht="14.2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8"/>
      <c r="AG867" s="58"/>
      <c r="AH867" s="58"/>
      <c r="AI867" s="58"/>
      <c r="AJ867" s="58"/>
      <c r="AK867" s="58"/>
    </row>
    <row r="868" ht="14.2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8"/>
      <c r="AG868" s="58"/>
      <c r="AH868" s="58"/>
      <c r="AI868" s="58"/>
      <c r="AJ868" s="58"/>
      <c r="AK868" s="58"/>
    </row>
    <row r="869" ht="14.2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8"/>
      <c r="AG869" s="58"/>
      <c r="AH869" s="58"/>
      <c r="AI869" s="58"/>
      <c r="AJ869" s="58"/>
      <c r="AK869" s="58"/>
    </row>
    <row r="870" ht="14.2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8"/>
      <c r="AG870" s="58"/>
      <c r="AH870" s="58"/>
      <c r="AI870" s="58"/>
      <c r="AJ870" s="58"/>
      <c r="AK870" s="58"/>
    </row>
    <row r="871" ht="14.2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8"/>
      <c r="AG871" s="58"/>
      <c r="AH871" s="58"/>
      <c r="AI871" s="58"/>
      <c r="AJ871" s="58"/>
      <c r="AK871" s="58"/>
    </row>
    <row r="872" ht="14.2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8"/>
      <c r="AG872" s="58"/>
      <c r="AH872" s="58"/>
      <c r="AI872" s="58"/>
      <c r="AJ872" s="58"/>
      <c r="AK872" s="58"/>
    </row>
    <row r="873" ht="14.2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8"/>
      <c r="AG873" s="58"/>
      <c r="AH873" s="58"/>
      <c r="AI873" s="58"/>
      <c r="AJ873" s="58"/>
      <c r="AK873" s="58"/>
    </row>
    <row r="874" ht="14.2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8"/>
      <c r="AG874" s="58"/>
      <c r="AH874" s="58"/>
      <c r="AI874" s="58"/>
      <c r="AJ874" s="58"/>
      <c r="AK874" s="58"/>
    </row>
    <row r="875" ht="14.2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8"/>
      <c r="AG875" s="58"/>
      <c r="AH875" s="58"/>
      <c r="AI875" s="58"/>
      <c r="AJ875" s="58"/>
      <c r="AK875" s="58"/>
    </row>
    <row r="876" ht="14.2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8"/>
      <c r="AG876" s="58"/>
      <c r="AH876" s="58"/>
      <c r="AI876" s="58"/>
      <c r="AJ876" s="58"/>
      <c r="AK876" s="58"/>
    </row>
    <row r="877" ht="14.2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8"/>
      <c r="AG877" s="58"/>
      <c r="AH877" s="58"/>
      <c r="AI877" s="58"/>
      <c r="AJ877" s="58"/>
      <c r="AK877" s="58"/>
    </row>
    <row r="878" ht="14.2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8"/>
      <c r="AG878" s="58"/>
      <c r="AH878" s="58"/>
      <c r="AI878" s="58"/>
      <c r="AJ878" s="58"/>
      <c r="AK878" s="58"/>
    </row>
    <row r="879" ht="14.2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8"/>
      <c r="AG879" s="58"/>
      <c r="AH879" s="58"/>
      <c r="AI879" s="58"/>
      <c r="AJ879" s="58"/>
      <c r="AK879" s="58"/>
    </row>
    <row r="880" ht="14.2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8"/>
      <c r="AG880" s="58"/>
      <c r="AH880" s="58"/>
      <c r="AI880" s="58"/>
      <c r="AJ880" s="58"/>
      <c r="AK880" s="58"/>
    </row>
    <row r="881" ht="14.2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8"/>
      <c r="AG881" s="58"/>
      <c r="AH881" s="58"/>
      <c r="AI881" s="58"/>
      <c r="AJ881" s="58"/>
      <c r="AK881" s="58"/>
    </row>
    <row r="882" ht="14.2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8"/>
      <c r="AG882" s="58"/>
      <c r="AH882" s="58"/>
      <c r="AI882" s="58"/>
      <c r="AJ882" s="58"/>
      <c r="AK882" s="58"/>
    </row>
    <row r="883" ht="14.2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8"/>
      <c r="AG883" s="58"/>
      <c r="AH883" s="58"/>
      <c r="AI883" s="58"/>
      <c r="AJ883" s="58"/>
      <c r="AK883" s="58"/>
    </row>
    <row r="884" ht="14.2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8"/>
      <c r="AG884" s="58"/>
      <c r="AH884" s="58"/>
      <c r="AI884" s="58"/>
      <c r="AJ884" s="58"/>
      <c r="AK884" s="58"/>
    </row>
    <row r="885" ht="14.2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8"/>
      <c r="AG885" s="58"/>
      <c r="AH885" s="58"/>
      <c r="AI885" s="58"/>
      <c r="AJ885" s="58"/>
      <c r="AK885" s="58"/>
    </row>
    <row r="886" ht="14.2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8"/>
      <c r="AG886" s="58"/>
      <c r="AH886" s="58"/>
      <c r="AI886" s="58"/>
      <c r="AJ886" s="58"/>
      <c r="AK886" s="58"/>
    </row>
    <row r="887" ht="14.2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8"/>
      <c r="AG887" s="58"/>
      <c r="AH887" s="58"/>
      <c r="AI887" s="58"/>
      <c r="AJ887" s="58"/>
      <c r="AK887" s="58"/>
    </row>
    <row r="888" ht="14.2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8"/>
      <c r="AG888" s="58"/>
      <c r="AH888" s="58"/>
      <c r="AI888" s="58"/>
      <c r="AJ888" s="58"/>
      <c r="AK888" s="58"/>
    </row>
    <row r="889" ht="14.2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8"/>
      <c r="AG889" s="58"/>
      <c r="AH889" s="58"/>
      <c r="AI889" s="58"/>
      <c r="AJ889" s="58"/>
      <c r="AK889" s="58"/>
    </row>
    <row r="890" ht="14.2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8"/>
      <c r="AG890" s="58"/>
      <c r="AH890" s="58"/>
      <c r="AI890" s="58"/>
      <c r="AJ890" s="58"/>
      <c r="AK890" s="58"/>
    </row>
    <row r="891" ht="14.2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8"/>
      <c r="AG891" s="58"/>
      <c r="AH891" s="58"/>
      <c r="AI891" s="58"/>
      <c r="AJ891" s="58"/>
      <c r="AK891" s="58"/>
    </row>
    <row r="892" ht="14.2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8"/>
      <c r="AG892" s="58"/>
      <c r="AH892" s="58"/>
      <c r="AI892" s="58"/>
      <c r="AJ892" s="58"/>
      <c r="AK892" s="58"/>
    </row>
    <row r="893" ht="14.2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8"/>
      <c r="AG893" s="58"/>
      <c r="AH893" s="58"/>
      <c r="AI893" s="58"/>
      <c r="AJ893" s="58"/>
      <c r="AK893" s="58"/>
    </row>
    <row r="894" ht="14.2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8"/>
      <c r="AG894" s="58"/>
      <c r="AH894" s="58"/>
      <c r="AI894" s="58"/>
      <c r="AJ894" s="58"/>
      <c r="AK894" s="58"/>
    </row>
    <row r="895" ht="14.2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8"/>
      <c r="AG895" s="58"/>
      <c r="AH895" s="58"/>
      <c r="AI895" s="58"/>
      <c r="AJ895" s="58"/>
      <c r="AK895" s="58"/>
    </row>
    <row r="896" ht="14.2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8"/>
      <c r="AG896" s="58"/>
      <c r="AH896" s="58"/>
      <c r="AI896" s="58"/>
      <c r="AJ896" s="58"/>
      <c r="AK896" s="58"/>
    </row>
    <row r="897" ht="14.2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8"/>
      <c r="AG897" s="58"/>
      <c r="AH897" s="58"/>
      <c r="AI897" s="58"/>
      <c r="AJ897" s="58"/>
      <c r="AK897" s="58"/>
    </row>
    <row r="898" ht="14.2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8"/>
      <c r="AG898" s="58"/>
      <c r="AH898" s="58"/>
      <c r="AI898" s="58"/>
      <c r="AJ898" s="58"/>
      <c r="AK898" s="58"/>
    </row>
    <row r="899" ht="14.2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8"/>
      <c r="AG899" s="58"/>
      <c r="AH899" s="58"/>
      <c r="AI899" s="58"/>
      <c r="AJ899" s="58"/>
      <c r="AK899" s="58"/>
    </row>
    <row r="900" ht="14.2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8"/>
      <c r="AG900" s="58"/>
      <c r="AH900" s="58"/>
      <c r="AI900" s="58"/>
      <c r="AJ900" s="58"/>
      <c r="AK900" s="58"/>
    </row>
    <row r="901" ht="14.2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8"/>
      <c r="AG901" s="58"/>
      <c r="AH901" s="58"/>
      <c r="AI901" s="58"/>
      <c r="AJ901" s="58"/>
      <c r="AK901" s="58"/>
    </row>
    <row r="902" ht="14.2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8"/>
      <c r="AG902" s="58"/>
      <c r="AH902" s="58"/>
      <c r="AI902" s="58"/>
      <c r="AJ902" s="58"/>
      <c r="AK902" s="58"/>
    </row>
    <row r="903" ht="14.2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8"/>
      <c r="AG903" s="58"/>
      <c r="AH903" s="58"/>
      <c r="AI903" s="58"/>
      <c r="AJ903" s="58"/>
      <c r="AK903" s="58"/>
    </row>
    <row r="904" ht="14.2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8"/>
      <c r="AG904" s="58"/>
      <c r="AH904" s="58"/>
      <c r="AI904" s="58"/>
      <c r="AJ904" s="58"/>
      <c r="AK904" s="58"/>
    </row>
    <row r="905" ht="14.2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8"/>
      <c r="AG905" s="58"/>
      <c r="AH905" s="58"/>
      <c r="AI905" s="58"/>
      <c r="AJ905" s="58"/>
      <c r="AK905" s="58"/>
    </row>
    <row r="906" ht="14.2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8"/>
      <c r="AG906" s="58"/>
      <c r="AH906" s="58"/>
      <c r="AI906" s="58"/>
      <c r="AJ906" s="58"/>
      <c r="AK906" s="58"/>
    </row>
    <row r="907" ht="14.2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8"/>
      <c r="AG907" s="58"/>
      <c r="AH907" s="58"/>
      <c r="AI907" s="58"/>
      <c r="AJ907" s="58"/>
      <c r="AK907" s="58"/>
    </row>
    <row r="908" ht="14.2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8"/>
      <c r="AG908" s="58"/>
      <c r="AH908" s="58"/>
      <c r="AI908" s="58"/>
      <c r="AJ908" s="58"/>
      <c r="AK908" s="58"/>
    </row>
    <row r="909" ht="14.2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8"/>
      <c r="AG909" s="58"/>
      <c r="AH909" s="58"/>
      <c r="AI909" s="58"/>
      <c r="AJ909" s="58"/>
      <c r="AK909" s="58"/>
    </row>
    <row r="910" ht="14.2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8"/>
      <c r="AG910" s="58"/>
      <c r="AH910" s="58"/>
      <c r="AI910" s="58"/>
      <c r="AJ910" s="58"/>
      <c r="AK910" s="58"/>
    </row>
    <row r="911" ht="14.2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8"/>
      <c r="AG911" s="58"/>
      <c r="AH911" s="58"/>
      <c r="AI911" s="58"/>
      <c r="AJ911" s="58"/>
      <c r="AK911" s="58"/>
    </row>
    <row r="912" ht="14.2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8"/>
      <c r="AG912" s="58"/>
      <c r="AH912" s="58"/>
      <c r="AI912" s="58"/>
      <c r="AJ912" s="58"/>
      <c r="AK912" s="58"/>
    </row>
    <row r="913" ht="14.2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8"/>
      <c r="AG913" s="58"/>
      <c r="AH913" s="58"/>
      <c r="AI913" s="58"/>
      <c r="AJ913" s="58"/>
      <c r="AK913" s="58"/>
    </row>
    <row r="914" ht="14.2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8"/>
      <c r="AG914" s="58"/>
      <c r="AH914" s="58"/>
      <c r="AI914" s="58"/>
      <c r="AJ914" s="58"/>
      <c r="AK914" s="58"/>
    </row>
    <row r="915" ht="14.2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8"/>
      <c r="AG915" s="58"/>
      <c r="AH915" s="58"/>
      <c r="AI915" s="58"/>
      <c r="AJ915" s="58"/>
      <c r="AK915" s="58"/>
    </row>
    <row r="916" ht="14.2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8"/>
      <c r="AG916" s="58"/>
      <c r="AH916" s="58"/>
      <c r="AI916" s="58"/>
      <c r="AJ916" s="58"/>
      <c r="AK916" s="58"/>
    </row>
    <row r="917" ht="14.2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8"/>
      <c r="AG917" s="58"/>
      <c r="AH917" s="58"/>
      <c r="AI917" s="58"/>
      <c r="AJ917" s="58"/>
      <c r="AK917" s="58"/>
    </row>
    <row r="918" ht="14.2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8"/>
      <c r="AG918" s="58"/>
      <c r="AH918" s="58"/>
      <c r="AI918" s="58"/>
      <c r="AJ918" s="58"/>
      <c r="AK918" s="58"/>
    </row>
    <row r="919" ht="14.2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8"/>
      <c r="AG919" s="58"/>
      <c r="AH919" s="58"/>
      <c r="AI919" s="58"/>
      <c r="AJ919" s="58"/>
      <c r="AK919" s="58"/>
    </row>
    <row r="920" ht="14.2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8"/>
      <c r="AG920" s="58"/>
      <c r="AH920" s="58"/>
      <c r="AI920" s="58"/>
      <c r="AJ920" s="58"/>
      <c r="AK920" s="58"/>
    </row>
    <row r="921" ht="14.2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8"/>
      <c r="AG921" s="58"/>
      <c r="AH921" s="58"/>
      <c r="AI921" s="58"/>
      <c r="AJ921" s="58"/>
      <c r="AK921" s="58"/>
    </row>
    <row r="922" ht="14.2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8"/>
      <c r="AG922" s="58"/>
      <c r="AH922" s="58"/>
      <c r="AI922" s="58"/>
      <c r="AJ922" s="58"/>
      <c r="AK922" s="58"/>
    </row>
    <row r="923" ht="14.2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8"/>
      <c r="AG923" s="58"/>
      <c r="AH923" s="58"/>
      <c r="AI923" s="58"/>
      <c r="AJ923" s="58"/>
      <c r="AK923" s="58"/>
    </row>
    <row r="924" ht="14.2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8"/>
      <c r="AG924" s="58"/>
      <c r="AH924" s="58"/>
      <c r="AI924" s="58"/>
      <c r="AJ924" s="58"/>
      <c r="AK924" s="58"/>
    </row>
    <row r="925" ht="14.2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8"/>
      <c r="AG925" s="58"/>
      <c r="AH925" s="58"/>
      <c r="AI925" s="58"/>
      <c r="AJ925" s="58"/>
      <c r="AK925" s="58"/>
    </row>
    <row r="926" ht="14.2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8"/>
      <c r="AG926" s="58"/>
      <c r="AH926" s="58"/>
      <c r="AI926" s="58"/>
      <c r="AJ926" s="58"/>
      <c r="AK926" s="58"/>
    </row>
    <row r="927" ht="14.2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8"/>
      <c r="AG927" s="58"/>
      <c r="AH927" s="58"/>
      <c r="AI927" s="58"/>
      <c r="AJ927" s="58"/>
      <c r="AK927" s="58"/>
    </row>
    <row r="928" ht="14.2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8"/>
      <c r="AG928" s="58"/>
      <c r="AH928" s="58"/>
      <c r="AI928" s="58"/>
      <c r="AJ928" s="58"/>
      <c r="AK928" s="58"/>
    </row>
    <row r="929" ht="14.2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8"/>
      <c r="AG929" s="58"/>
      <c r="AH929" s="58"/>
      <c r="AI929" s="58"/>
      <c r="AJ929" s="58"/>
      <c r="AK929" s="58"/>
    </row>
    <row r="930" ht="14.2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8"/>
      <c r="AG930" s="58"/>
      <c r="AH930" s="58"/>
      <c r="AI930" s="58"/>
      <c r="AJ930" s="58"/>
      <c r="AK930" s="58"/>
    </row>
    <row r="931" ht="14.2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8"/>
      <c r="AG931" s="58"/>
      <c r="AH931" s="58"/>
      <c r="AI931" s="58"/>
      <c r="AJ931" s="58"/>
      <c r="AK931" s="58"/>
    </row>
    <row r="932" ht="14.2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8"/>
      <c r="AG932" s="58"/>
      <c r="AH932" s="58"/>
      <c r="AI932" s="58"/>
      <c r="AJ932" s="58"/>
      <c r="AK932" s="58"/>
    </row>
    <row r="933" ht="14.2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8"/>
      <c r="AG933" s="58"/>
      <c r="AH933" s="58"/>
      <c r="AI933" s="58"/>
      <c r="AJ933" s="58"/>
      <c r="AK933" s="58"/>
    </row>
    <row r="934" ht="14.2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8"/>
      <c r="AG934" s="58"/>
      <c r="AH934" s="58"/>
      <c r="AI934" s="58"/>
      <c r="AJ934" s="58"/>
      <c r="AK934" s="58"/>
    </row>
    <row r="935" ht="14.2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8"/>
      <c r="AG935" s="58"/>
      <c r="AH935" s="58"/>
      <c r="AI935" s="58"/>
      <c r="AJ935" s="58"/>
      <c r="AK935" s="58"/>
    </row>
    <row r="936" ht="14.2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8"/>
      <c r="AG936" s="58"/>
      <c r="AH936" s="58"/>
      <c r="AI936" s="58"/>
      <c r="AJ936" s="58"/>
      <c r="AK936" s="58"/>
    </row>
    <row r="937" ht="14.2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8"/>
      <c r="AG937" s="58"/>
      <c r="AH937" s="58"/>
      <c r="AI937" s="58"/>
      <c r="AJ937" s="58"/>
      <c r="AK937" s="58"/>
    </row>
    <row r="938" ht="14.2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8"/>
      <c r="AG938" s="58"/>
      <c r="AH938" s="58"/>
      <c r="AI938" s="58"/>
      <c r="AJ938" s="58"/>
      <c r="AK938" s="58"/>
    </row>
    <row r="939" ht="14.2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8"/>
      <c r="AG939" s="58"/>
      <c r="AH939" s="58"/>
      <c r="AI939" s="58"/>
      <c r="AJ939" s="58"/>
      <c r="AK939" s="58"/>
    </row>
    <row r="940" ht="14.2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8"/>
      <c r="AG940" s="58"/>
      <c r="AH940" s="58"/>
      <c r="AI940" s="58"/>
      <c r="AJ940" s="58"/>
      <c r="AK940" s="58"/>
    </row>
    <row r="941" ht="14.2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8"/>
      <c r="AG941" s="58"/>
      <c r="AH941" s="58"/>
      <c r="AI941" s="58"/>
      <c r="AJ941" s="58"/>
      <c r="AK941" s="58"/>
    </row>
    <row r="942" ht="14.2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8"/>
      <c r="AG942" s="58"/>
      <c r="AH942" s="58"/>
      <c r="AI942" s="58"/>
      <c r="AJ942" s="58"/>
      <c r="AK942" s="58"/>
    </row>
    <row r="943" ht="14.2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8"/>
      <c r="AG943" s="58"/>
      <c r="AH943" s="58"/>
      <c r="AI943" s="58"/>
      <c r="AJ943" s="58"/>
      <c r="AK943" s="58"/>
    </row>
    <row r="944" ht="14.2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8"/>
      <c r="AG944" s="58"/>
      <c r="AH944" s="58"/>
      <c r="AI944" s="58"/>
      <c r="AJ944" s="58"/>
      <c r="AK944" s="58"/>
    </row>
    <row r="945" ht="14.2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8"/>
      <c r="AG945" s="58"/>
      <c r="AH945" s="58"/>
      <c r="AI945" s="58"/>
      <c r="AJ945" s="58"/>
      <c r="AK945" s="58"/>
    </row>
    <row r="946" ht="14.2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8"/>
      <c r="AG946" s="58"/>
      <c r="AH946" s="58"/>
      <c r="AI946" s="58"/>
      <c r="AJ946" s="58"/>
      <c r="AK946" s="58"/>
    </row>
    <row r="947" ht="14.2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8"/>
      <c r="AG947" s="58"/>
      <c r="AH947" s="58"/>
      <c r="AI947" s="58"/>
      <c r="AJ947" s="58"/>
      <c r="AK947" s="58"/>
    </row>
    <row r="948" ht="14.2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8"/>
      <c r="AG948" s="58"/>
      <c r="AH948" s="58"/>
      <c r="AI948" s="58"/>
      <c r="AJ948" s="58"/>
      <c r="AK948" s="58"/>
    </row>
    <row r="949" ht="14.2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8"/>
      <c r="AG949" s="58"/>
      <c r="AH949" s="58"/>
      <c r="AI949" s="58"/>
      <c r="AJ949" s="58"/>
      <c r="AK949" s="58"/>
    </row>
    <row r="950" ht="14.2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8"/>
      <c r="AG950" s="58"/>
      <c r="AH950" s="58"/>
      <c r="AI950" s="58"/>
      <c r="AJ950" s="58"/>
      <c r="AK950" s="58"/>
    </row>
    <row r="951" ht="14.2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8"/>
      <c r="AG951" s="58"/>
      <c r="AH951" s="58"/>
      <c r="AI951" s="58"/>
      <c r="AJ951" s="58"/>
      <c r="AK951" s="58"/>
    </row>
    <row r="952" ht="14.2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8"/>
      <c r="AG952" s="58"/>
      <c r="AH952" s="58"/>
      <c r="AI952" s="58"/>
      <c r="AJ952" s="58"/>
      <c r="AK952" s="58"/>
    </row>
    <row r="953" ht="14.2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8"/>
      <c r="AG953" s="58"/>
      <c r="AH953" s="58"/>
      <c r="AI953" s="58"/>
      <c r="AJ953" s="58"/>
      <c r="AK953" s="58"/>
    </row>
    <row r="954" ht="14.2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8"/>
      <c r="AG954" s="58"/>
      <c r="AH954" s="58"/>
      <c r="AI954" s="58"/>
      <c r="AJ954" s="58"/>
      <c r="AK954" s="58"/>
    </row>
    <row r="955" ht="14.2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8"/>
      <c r="AG955" s="58"/>
      <c r="AH955" s="58"/>
      <c r="AI955" s="58"/>
      <c r="AJ955" s="58"/>
      <c r="AK955" s="58"/>
    </row>
    <row r="956" ht="14.2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8"/>
      <c r="AG956" s="58"/>
      <c r="AH956" s="58"/>
      <c r="AI956" s="58"/>
      <c r="AJ956" s="58"/>
      <c r="AK956" s="58"/>
    </row>
    <row r="957" ht="14.2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8"/>
      <c r="AG957" s="58"/>
      <c r="AH957" s="58"/>
      <c r="AI957" s="58"/>
      <c r="AJ957" s="58"/>
      <c r="AK957" s="58"/>
    </row>
    <row r="958" ht="14.2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8"/>
      <c r="AG958" s="58"/>
      <c r="AH958" s="58"/>
      <c r="AI958" s="58"/>
      <c r="AJ958" s="58"/>
      <c r="AK958" s="58"/>
    </row>
    <row r="959" ht="14.2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8"/>
      <c r="AG959" s="58"/>
      <c r="AH959" s="58"/>
      <c r="AI959" s="58"/>
      <c r="AJ959" s="58"/>
      <c r="AK959" s="58"/>
    </row>
    <row r="960" ht="14.2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8"/>
      <c r="AG960" s="58"/>
      <c r="AH960" s="58"/>
      <c r="AI960" s="58"/>
      <c r="AJ960" s="58"/>
      <c r="AK960" s="58"/>
    </row>
    <row r="961" ht="14.2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8"/>
      <c r="AG961" s="58"/>
      <c r="AH961" s="58"/>
      <c r="AI961" s="58"/>
      <c r="AJ961" s="58"/>
      <c r="AK961" s="58"/>
    </row>
    <row r="962" ht="14.2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8"/>
      <c r="AG962" s="58"/>
      <c r="AH962" s="58"/>
      <c r="AI962" s="58"/>
      <c r="AJ962" s="58"/>
      <c r="AK962" s="58"/>
    </row>
    <row r="963" ht="14.2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8"/>
      <c r="AG963" s="58"/>
      <c r="AH963" s="58"/>
      <c r="AI963" s="58"/>
      <c r="AJ963" s="58"/>
      <c r="AK963" s="58"/>
    </row>
    <row r="964" ht="14.2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8"/>
      <c r="AG964" s="58"/>
      <c r="AH964" s="58"/>
      <c r="AI964" s="58"/>
      <c r="AJ964" s="58"/>
      <c r="AK964" s="58"/>
    </row>
    <row r="965" ht="14.2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8"/>
      <c r="AG965" s="58"/>
      <c r="AH965" s="58"/>
      <c r="AI965" s="58"/>
      <c r="AJ965" s="58"/>
      <c r="AK965" s="58"/>
    </row>
    <row r="966" ht="14.2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8"/>
      <c r="AG966" s="58"/>
      <c r="AH966" s="58"/>
      <c r="AI966" s="58"/>
      <c r="AJ966" s="58"/>
      <c r="AK966" s="58"/>
    </row>
    <row r="967" ht="14.2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8"/>
      <c r="AG967" s="58"/>
      <c r="AH967" s="58"/>
      <c r="AI967" s="58"/>
      <c r="AJ967" s="58"/>
      <c r="AK967" s="58"/>
    </row>
    <row r="968" ht="14.2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8"/>
      <c r="AG968" s="58"/>
      <c r="AH968" s="58"/>
      <c r="AI968" s="58"/>
      <c r="AJ968" s="58"/>
      <c r="AK968" s="58"/>
    </row>
    <row r="969" ht="14.2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8"/>
      <c r="AG969" s="58"/>
      <c r="AH969" s="58"/>
      <c r="AI969" s="58"/>
      <c r="AJ969" s="58"/>
      <c r="AK969" s="58"/>
    </row>
    <row r="970" ht="14.2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8"/>
      <c r="AG970" s="58"/>
      <c r="AH970" s="58"/>
      <c r="AI970" s="58"/>
      <c r="AJ970" s="58"/>
      <c r="AK970" s="58"/>
    </row>
    <row r="971" ht="14.2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8"/>
      <c r="AG971" s="58"/>
      <c r="AH971" s="58"/>
      <c r="AI971" s="58"/>
      <c r="AJ971" s="58"/>
      <c r="AK971" s="58"/>
    </row>
    <row r="972" ht="14.2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8"/>
      <c r="AG972" s="58"/>
      <c r="AH972" s="58"/>
      <c r="AI972" s="58"/>
      <c r="AJ972" s="58"/>
      <c r="AK972" s="58"/>
    </row>
    <row r="973" ht="14.2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8"/>
      <c r="AG973" s="58"/>
      <c r="AH973" s="58"/>
      <c r="AI973" s="58"/>
      <c r="AJ973" s="58"/>
      <c r="AK973" s="58"/>
    </row>
    <row r="974" ht="14.2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8"/>
      <c r="AG974" s="58"/>
      <c r="AH974" s="58"/>
      <c r="AI974" s="58"/>
      <c r="AJ974" s="58"/>
      <c r="AK974" s="58"/>
    </row>
    <row r="975" ht="14.2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8"/>
      <c r="AG975" s="58"/>
      <c r="AH975" s="58"/>
      <c r="AI975" s="58"/>
      <c r="AJ975" s="58"/>
      <c r="AK975" s="58"/>
    </row>
    <row r="976" ht="14.2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8"/>
      <c r="AG976" s="58"/>
      <c r="AH976" s="58"/>
      <c r="AI976" s="58"/>
      <c r="AJ976" s="58"/>
      <c r="AK976" s="58"/>
    </row>
    <row r="977" ht="14.2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8"/>
      <c r="AG977" s="58"/>
      <c r="AH977" s="58"/>
      <c r="AI977" s="58"/>
      <c r="AJ977" s="58"/>
      <c r="AK977" s="58"/>
    </row>
    <row r="978" ht="14.2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8"/>
      <c r="AG978" s="58"/>
      <c r="AH978" s="58"/>
      <c r="AI978" s="58"/>
      <c r="AJ978" s="58"/>
      <c r="AK978" s="58"/>
    </row>
    <row r="979" ht="14.2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8"/>
      <c r="AG979" s="58"/>
      <c r="AH979" s="58"/>
      <c r="AI979" s="58"/>
      <c r="AJ979" s="58"/>
      <c r="AK979" s="58"/>
    </row>
    <row r="980" ht="14.2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8"/>
      <c r="AG980" s="58"/>
      <c r="AH980" s="58"/>
      <c r="AI980" s="58"/>
      <c r="AJ980" s="58"/>
      <c r="AK980" s="58"/>
    </row>
    <row r="981" ht="14.2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8"/>
      <c r="AG981" s="58"/>
      <c r="AH981" s="58"/>
      <c r="AI981" s="58"/>
      <c r="AJ981" s="58"/>
      <c r="AK981" s="58"/>
    </row>
    <row r="982" ht="14.2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8"/>
      <c r="AG982" s="58"/>
      <c r="AH982" s="58"/>
      <c r="AI982" s="58"/>
      <c r="AJ982" s="58"/>
      <c r="AK982" s="58"/>
    </row>
    <row r="983" ht="14.2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8"/>
      <c r="AG983" s="58"/>
      <c r="AH983" s="58"/>
      <c r="AI983" s="58"/>
      <c r="AJ983" s="58"/>
      <c r="AK983" s="58"/>
    </row>
    <row r="984" ht="14.2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8"/>
      <c r="AG984" s="58"/>
      <c r="AH984" s="58"/>
      <c r="AI984" s="58"/>
      <c r="AJ984" s="58"/>
      <c r="AK984" s="58"/>
    </row>
    <row r="985" ht="14.2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8"/>
      <c r="AG985" s="58"/>
      <c r="AH985" s="58"/>
      <c r="AI985" s="58"/>
      <c r="AJ985" s="58"/>
      <c r="AK985" s="58"/>
    </row>
    <row r="986" ht="14.2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8"/>
      <c r="AG986" s="58"/>
      <c r="AH986" s="58"/>
      <c r="AI986" s="58"/>
      <c r="AJ986" s="58"/>
      <c r="AK986" s="58"/>
    </row>
    <row r="987" ht="14.2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8"/>
      <c r="AG987" s="58"/>
      <c r="AH987" s="58"/>
      <c r="AI987" s="58"/>
      <c r="AJ987" s="58"/>
      <c r="AK987" s="58"/>
    </row>
    <row r="988" ht="14.2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8"/>
      <c r="AG988" s="58"/>
      <c r="AH988" s="58"/>
      <c r="AI988" s="58"/>
      <c r="AJ988" s="58"/>
      <c r="AK988" s="58"/>
    </row>
    <row r="989" ht="14.2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8"/>
      <c r="AG989" s="58"/>
      <c r="AH989" s="58"/>
      <c r="AI989" s="58"/>
      <c r="AJ989" s="58"/>
      <c r="AK989" s="58"/>
    </row>
    <row r="990" ht="14.2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8"/>
      <c r="AG990" s="58"/>
      <c r="AH990" s="58"/>
      <c r="AI990" s="58"/>
      <c r="AJ990" s="58"/>
      <c r="AK990" s="58"/>
    </row>
    <row r="991" ht="14.2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8"/>
      <c r="AG991" s="58"/>
      <c r="AH991" s="58"/>
      <c r="AI991" s="58"/>
      <c r="AJ991" s="58"/>
      <c r="AK991" s="58"/>
    </row>
    <row r="992" ht="14.2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8"/>
      <c r="AG992" s="58"/>
      <c r="AH992" s="58"/>
      <c r="AI992" s="58"/>
      <c r="AJ992" s="58"/>
      <c r="AK992" s="58"/>
    </row>
    <row r="993" ht="14.2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8"/>
      <c r="AG993" s="58"/>
      <c r="AH993" s="58"/>
      <c r="AI993" s="58"/>
      <c r="AJ993" s="58"/>
      <c r="AK993" s="58"/>
    </row>
    <row r="994" ht="14.2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8"/>
      <c r="AG994" s="58"/>
      <c r="AH994" s="58"/>
      <c r="AI994" s="58"/>
      <c r="AJ994" s="58"/>
      <c r="AK994" s="58"/>
    </row>
    <row r="995" ht="14.2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8"/>
      <c r="AG995" s="58"/>
      <c r="AH995" s="58"/>
      <c r="AI995" s="58"/>
      <c r="AJ995" s="58"/>
      <c r="AK995" s="58"/>
    </row>
    <row r="996" ht="14.2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8"/>
      <c r="AG996" s="58"/>
      <c r="AH996" s="58"/>
      <c r="AI996" s="58"/>
      <c r="AJ996" s="58"/>
      <c r="AK996" s="58"/>
    </row>
    <row r="997" ht="14.2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8"/>
      <c r="AG997" s="58"/>
      <c r="AH997" s="58"/>
      <c r="AI997" s="58"/>
      <c r="AJ997" s="58"/>
      <c r="AK997" s="58"/>
    </row>
    <row r="998" ht="14.2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8"/>
      <c r="AG998" s="58"/>
      <c r="AH998" s="58"/>
      <c r="AI998" s="58"/>
      <c r="AJ998" s="58"/>
      <c r="AK998" s="58"/>
    </row>
    <row r="999" ht="14.2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8"/>
      <c r="AG999" s="58"/>
      <c r="AH999" s="58"/>
      <c r="AI999" s="58"/>
      <c r="AJ999" s="58"/>
      <c r="AK999" s="58"/>
    </row>
    <row r="1000" ht="14.2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8"/>
      <c r="AG1000" s="58"/>
      <c r="AH1000" s="58"/>
      <c r="AI1000" s="58"/>
      <c r="AJ1000" s="58"/>
      <c r="AK1000" s="58"/>
    </row>
    <row r="1001" ht="14.25" customHeight="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8"/>
      <c r="AG1001" s="58"/>
      <c r="AH1001" s="58"/>
      <c r="AI1001" s="58"/>
      <c r="AJ1001" s="58"/>
      <c r="AK1001" s="58"/>
    </row>
  </sheetData>
  <mergeCells count="20">
    <mergeCell ref="H1:H2"/>
    <mergeCell ref="I1:I2"/>
    <mergeCell ref="B1:B2"/>
    <mergeCell ref="C1:C2"/>
    <mergeCell ref="D1:D2"/>
    <mergeCell ref="E1:E2"/>
    <mergeCell ref="F1:F2"/>
    <mergeCell ref="A1:A2"/>
    <mergeCell ref="G1:G2"/>
    <mergeCell ref="P1:P2"/>
    <mergeCell ref="Q1:Q2"/>
    <mergeCell ref="R1:R2"/>
    <mergeCell ref="S1:S2"/>
    <mergeCell ref="AF1:AF3"/>
    <mergeCell ref="AG1:AG3"/>
    <mergeCell ref="AH1:AH3"/>
    <mergeCell ref="AI1:AI3"/>
    <mergeCell ref="AJ1:AJ3"/>
    <mergeCell ref="AK1:AK3"/>
    <mergeCell ref="J1:O1"/>
  </mergeCells>
  <dataValidations>
    <dataValidation type="list" allowBlank="1" showErrorMessage="1" sqref="E3:E12">
      <formula1>"India,Malaysia,Rest of the World"</formula1>
    </dataValidation>
    <dataValidation type="list" allowBlank="1" showErrorMessage="1" sqref="K4:S8">
      <formula1>"Issued,Draft,Pending"</formula1>
    </dataValidation>
    <dataValidation type="list" allowBlank="1" showErrorMessage="1" sqref="I3:I12">
      <formula1>"QUICK DECK / LIGHTDECK,MIVAN/MONOLITIC FORMWORK,PREMIUM FORMWORK,ROBUST FORMWORK / ROBUSTFORM,ADAPTER FORMWORK / ADAPTERFORM,ECO FORMWORK / ECOFORM,VERTICAL FORMWORK / VERTIPRO"</formula1>
    </dataValidation>
    <dataValidation type="list" allowBlank="1" showErrorMessage="1" sqref="H3:H12">
      <formula1>"MFE New,MFE Used (Refurbished),Re-Design Only (Non-physical Despatch),Direct,Modification"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2026-09-10T01:08:20Z</dcterms:created>
  <dc:creator>Izzat Hanif</dc:creator>
</cp:coreProperties>
</file>